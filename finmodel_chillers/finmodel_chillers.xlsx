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esktop\VOFF\ПОРТФОЛИО\"/>
    </mc:Choice>
  </mc:AlternateContent>
  <xr:revisionPtr revIDLastSave="0" documentId="13_ncr:1_{E4A42967-40C5-488D-AFE7-2CE8ECF45F46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Обложка" sheetId="1" r:id="rId1"/>
    <sheet name="Итоги" sheetId="2" r:id="rId2"/>
    <sheet name="Допущения" sheetId="3" r:id="rId3"/>
    <sheet name="Модель" sheetId="4" r:id="rId4"/>
    <sheet name="Сценарии" sheetId="5" r:id="rId5"/>
    <sheet name="Чувствительность" sheetId="6" r:id="rId6"/>
  </sheets>
  <definedNames>
    <definedName name="_xlnm.Print_Area" localSheetId="2">Допущения!$A$1:$E$42</definedName>
    <definedName name="_xlnm.Print_Area" localSheetId="1">Итоги!$A$1:$H$34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3" l="1"/>
  <c r="C7" i="3"/>
  <c r="C11" i="2" s="1"/>
  <c r="AC28" i="4"/>
  <c r="AB28" i="4"/>
  <c r="AA28" i="4"/>
  <c r="V23" i="4"/>
  <c r="J23" i="4"/>
  <c r="AA21" i="4"/>
  <c r="B21" i="4"/>
  <c r="AC20" i="4"/>
  <c r="S20" i="4"/>
  <c r="R20" i="4"/>
  <c r="Q20" i="4"/>
  <c r="G20" i="4"/>
  <c r="F20" i="4"/>
  <c r="E20" i="4"/>
  <c r="B20" i="4"/>
  <c r="AC16" i="4"/>
  <c r="AB16" i="4"/>
  <c r="AB20" i="4" s="1"/>
  <c r="AA16" i="4"/>
  <c r="AA20" i="4" s="1"/>
  <c r="Z16" i="4"/>
  <c r="Z20" i="4" s="1"/>
  <c r="Y16" i="4"/>
  <c r="Y20" i="4" s="1"/>
  <c r="X16" i="4"/>
  <c r="X20" i="4" s="1"/>
  <c r="W16" i="4"/>
  <c r="W20" i="4" s="1"/>
  <c r="V16" i="4"/>
  <c r="V20" i="4" s="1"/>
  <c r="U16" i="4"/>
  <c r="U20" i="4" s="1"/>
  <c r="T16" i="4"/>
  <c r="T20" i="4" s="1"/>
  <c r="S16" i="4"/>
  <c r="R16" i="4"/>
  <c r="Q16" i="4"/>
  <c r="P16" i="4"/>
  <c r="P20" i="4" s="1"/>
  <c r="O16" i="4"/>
  <c r="O20" i="4" s="1"/>
  <c r="N16" i="4"/>
  <c r="N20" i="4" s="1"/>
  <c r="M16" i="4"/>
  <c r="M20" i="4" s="1"/>
  <c r="L16" i="4"/>
  <c r="L20" i="4" s="1"/>
  <c r="K16" i="4"/>
  <c r="K20" i="4" s="1"/>
  <c r="J16" i="4"/>
  <c r="J20" i="4" s="1"/>
  <c r="I16" i="4"/>
  <c r="I20" i="4" s="1"/>
  <c r="H16" i="4"/>
  <c r="H20" i="4" s="1"/>
  <c r="G16" i="4"/>
  <c r="F16" i="4"/>
  <c r="E16" i="4"/>
  <c r="D16" i="4"/>
  <c r="D20" i="4" s="1"/>
  <c r="C16" i="4"/>
  <c r="C20" i="4" s="1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AB12" i="4"/>
  <c r="AB24" i="4" s="1"/>
  <c r="Y12" i="4"/>
  <c r="Y23" i="4" s="1"/>
  <c r="X12" i="4"/>
  <c r="X23" i="4" s="1"/>
  <c r="W12" i="4"/>
  <c r="W23" i="4" s="1"/>
  <c r="V12" i="4"/>
  <c r="V24" i="4" s="1"/>
  <c r="P12" i="4"/>
  <c r="P24" i="4" s="1"/>
  <c r="M12" i="4"/>
  <c r="M23" i="4" s="1"/>
  <c r="L12" i="4"/>
  <c r="L23" i="4" s="1"/>
  <c r="K12" i="4"/>
  <c r="K23" i="4" s="1"/>
  <c r="J12" i="4"/>
  <c r="J24" i="4" s="1"/>
  <c r="D12" i="4"/>
  <c r="D24" i="4" s="1"/>
  <c r="B12" i="4"/>
  <c r="B23" i="4" s="1"/>
  <c r="AC11" i="4"/>
  <c r="AC12" i="4" s="1"/>
  <c r="AB11" i="4"/>
  <c r="AA11" i="4"/>
  <c r="AA12" i="4" s="1"/>
  <c r="Z11" i="4"/>
  <c r="Z12" i="4" s="1"/>
  <c r="Y11" i="4"/>
  <c r="X11" i="4"/>
  <c r="W11" i="4"/>
  <c r="V11" i="4"/>
  <c r="U11" i="4"/>
  <c r="U12" i="4" s="1"/>
  <c r="T11" i="4"/>
  <c r="T12" i="4" s="1"/>
  <c r="S11" i="4"/>
  <c r="S12" i="4" s="1"/>
  <c r="R11" i="4"/>
  <c r="R12" i="4" s="1"/>
  <c r="Q11" i="4"/>
  <c r="Q12" i="4" s="1"/>
  <c r="P11" i="4"/>
  <c r="O11" i="4"/>
  <c r="O12" i="4" s="1"/>
  <c r="N11" i="4"/>
  <c r="N12" i="4" s="1"/>
  <c r="M11" i="4"/>
  <c r="L11" i="4"/>
  <c r="K11" i="4"/>
  <c r="J11" i="4"/>
  <c r="I11" i="4"/>
  <c r="I12" i="4" s="1"/>
  <c r="H11" i="4"/>
  <c r="H12" i="4" s="1"/>
  <c r="G11" i="4"/>
  <c r="G12" i="4" s="1"/>
  <c r="F11" i="4"/>
  <c r="F12" i="4" s="1"/>
  <c r="E11" i="4"/>
  <c r="E12" i="4" s="1"/>
  <c r="D11" i="4"/>
  <c r="C11" i="4"/>
  <c r="C12" i="4" s="1"/>
  <c r="AC10" i="4"/>
  <c r="B15" i="6" s="1"/>
  <c r="W10" i="4"/>
  <c r="W13" i="4" s="1"/>
  <c r="W17" i="4" s="1"/>
  <c r="T10" i="4"/>
  <c r="T22" i="4" s="1"/>
  <c r="S10" i="4"/>
  <c r="S22" i="4" s="1"/>
  <c r="R10" i="4"/>
  <c r="R22" i="4" s="1"/>
  <c r="Q10" i="4"/>
  <c r="Q22" i="4" s="1"/>
  <c r="K10" i="4"/>
  <c r="K13" i="4" s="1"/>
  <c r="K17" i="4" s="1"/>
  <c r="H10" i="4"/>
  <c r="H22" i="4" s="1"/>
  <c r="G10" i="4"/>
  <c r="G22" i="4" s="1"/>
  <c r="F10" i="4"/>
  <c r="F22" i="4" s="1"/>
  <c r="E10" i="4"/>
  <c r="E22" i="4" s="1"/>
  <c r="B10" i="4"/>
  <c r="B13" i="4" s="1"/>
  <c r="B17" i="4" s="1"/>
  <c r="AC9" i="4"/>
  <c r="AB9" i="4"/>
  <c r="AB10" i="4" s="1"/>
  <c r="AA9" i="4"/>
  <c r="AA10" i="4" s="1"/>
  <c r="Z9" i="4"/>
  <c r="Z10" i="4" s="1"/>
  <c r="Y9" i="4"/>
  <c r="Y10" i="4" s="1"/>
  <c r="X9" i="4"/>
  <c r="X10" i="4" s="1"/>
  <c r="W9" i="4"/>
  <c r="V9" i="4"/>
  <c r="V10" i="4" s="1"/>
  <c r="U9" i="4"/>
  <c r="U10" i="4" s="1"/>
  <c r="T9" i="4"/>
  <c r="S9" i="4"/>
  <c r="R9" i="4"/>
  <c r="Q9" i="4"/>
  <c r="P9" i="4"/>
  <c r="P10" i="4" s="1"/>
  <c r="O9" i="4"/>
  <c r="O10" i="4" s="1"/>
  <c r="N9" i="4"/>
  <c r="N10" i="4" s="1"/>
  <c r="M9" i="4"/>
  <c r="M10" i="4" s="1"/>
  <c r="L9" i="4"/>
  <c r="L10" i="4" s="1"/>
  <c r="K9" i="4"/>
  <c r="J9" i="4"/>
  <c r="J10" i="4" s="1"/>
  <c r="I9" i="4"/>
  <c r="I10" i="4" s="1"/>
  <c r="H9" i="4"/>
  <c r="G9" i="4"/>
  <c r="F9" i="4"/>
  <c r="E9" i="4"/>
  <c r="D9" i="4"/>
  <c r="D10" i="4" s="1"/>
  <c r="C9" i="4"/>
  <c r="C10" i="4" s="1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6" i="4"/>
  <c r="U6" i="4" s="1"/>
  <c r="U35" i="4" s="1"/>
  <c r="K19" i="4" l="1"/>
  <c r="K18" i="4"/>
  <c r="H24" i="4"/>
  <c r="H13" i="4"/>
  <c r="H17" i="4" s="1"/>
  <c r="H23" i="4"/>
  <c r="T24" i="4"/>
  <c r="T13" i="4"/>
  <c r="T17" i="4" s="1"/>
  <c r="T23" i="4"/>
  <c r="T25" i="4" s="1"/>
  <c r="T26" i="4" s="1"/>
  <c r="H25" i="4"/>
  <c r="X13" i="4"/>
  <c r="X17" i="4" s="1"/>
  <c r="X22" i="4"/>
  <c r="U24" i="4"/>
  <c r="U23" i="4"/>
  <c r="D22" i="4"/>
  <c r="D13" i="4"/>
  <c r="D17" i="4" s="1"/>
  <c r="P22" i="4"/>
  <c r="P13" i="4"/>
  <c r="P17" i="4" s="1"/>
  <c r="B14" i="6"/>
  <c r="AB22" i="4"/>
  <c r="D16" i="5"/>
  <c r="AB13" i="4"/>
  <c r="AB17" i="4" s="1"/>
  <c r="C16" i="5"/>
  <c r="B16" i="5"/>
  <c r="W19" i="4"/>
  <c r="W18" i="4"/>
  <c r="L13" i="4"/>
  <c r="L17" i="4" s="1"/>
  <c r="L22" i="4"/>
  <c r="C22" i="4"/>
  <c r="B11" i="6"/>
  <c r="D13" i="5"/>
  <c r="C13" i="5"/>
  <c r="B13" i="5"/>
  <c r="C13" i="4"/>
  <c r="C17" i="4" s="1"/>
  <c r="N23" i="4"/>
  <c r="N24" i="4"/>
  <c r="Z23" i="4"/>
  <c r="Z24" i="4"/>
  <c r="G24" i="4"/>
  <c r="G13" i="4"/>
  <c r="G17" i="4" s="1"/>
  <c r="G23" i="4"/>
  <c r="I24" i="4"/>
  <c r="I23" i="4"/>
  <c r="Y22" i="4"/>
  <c r="Y25" i="4" s="1"/>
  <c r="Y13" i="4"/>
  <c r="Y17" i="4" s="1"/>
  <c r="Z22" i="4"/>
  <c r="Z25" i="4" s="1"/>
  <c r="Z26" i="4" s="1"/>
  <c r="Z13" i="4"/>
  <c r="Z17" i="4" s="1"/>
  <c r="C15" i="5"/>
  <c r="B15" i="5"/>
  <c r="B13" i="6"/>
  <c r="AA22" i="4"/>
  <c r="AA13" i="4"/>
  <c r="AA17" i="4" s="1"/>
  <c r="D15" i="5"/>
  <c r="B18" i="4"/>
  <c r="B19" i="4" s="1"/>
  <c r="B27" i="4" s="1"/>
  <c r="C24" i="4"/>
  <c r="C23" i="4"/>
  <c r="O24" i="4"/>
  <c r="O23" i="4"/>
  <c r="AA24" i="4"/>
  <c r="AA23" i="4"/>
  <c r="J13" i="4"/>
  <c r="J17" i="4" s="1"/>
  <c r="J22" i="4"/>
  <c r="J25" i="4" s="1"/>
  <c r="S24" i="4"/>
  <c r="S13" i="4"/>
  <c r="S17" i="4" s="1"/>
  <c r="S23" i="4"/>
  <c r="S25" i="4" s="1"/>
  <c r="Q25" i="4"/>
  <c r="N22" i="4"/>
  <c r="N25" i="4" s="1"/>
  <c r="N26" i="4" s="1"/>
  <c r="N13" i="4"/>
  <c r="N17" i="4" s="1"/>
  <c r="D14" i="5"/>
  <c r="C14" i="5"/>
  <c r="O22" i="4"/>
  <c r="B12" i="6"/>
  <c r="B14" i="5"/>
  <c r="O13" i="4"/>
  <c r="O17" i="4" s="1"/>
  <c r="V13" i="4"/>
  <c r="V17" i="4" s="1"/>
  <c r="V22" i="4"/>
  <c r="V25" i="4" s="1"/>
  <c r="M22" i="4"/>
  <c r="M25" i="4" s="1"/>
  <c r="M13" i="4"/>
  <c r="M17" i="4" s="1"/>
  <c r="E24" i="4"/>
  <c r="E23" i="4"/>
  <c r="E25" i="4" s="1"/>
  <c r="Q24" i="4"/>
  <c r="Q23" i="4"/>
  <c r="AC24" i="4"/>
  <c r="AC23" i="4"/>
  <c r="I13" i="4"/>
  <c r="I17" i="4" s="1"/>
  <c r="I22" i="4"/>
  <c r="U13" i="4"/>
  <c r="U17" i="4" s="1"/>
  <c r="U22" i="4"/>
  <c r="U25" i="4" s="1"/>
  <c r="G25" i="4"/>
  <c r="F24" i="4"/>
  <c r="F25" i="4" s="1"/>
  <c r="F23" i="4"/>
  <c r="R24" i="4"/>
  <c r="R25" i="4" s="1"/>
  <c r="R26" i="4" s="1"/>
  <c r="R23" i="4"/>
  <c r="V6" i="4"/>
  <c r="V35" i="4" s="1"/>
  <c r="K24" i="4"/>
  <c r="W24" i="4"/>
  <c r="J6" i="4"/>
  <c r="J35" i="4" s="1"/>
  <c r="K6" i="4"/>
  <c r="K35" i="4" s="1"/>
  <c r="W6" i="4"/>
  <c r="W35" i="4" s="1"/>
  <c r="D23" i="4"/>
  <c r="P23" i="4"/>
  <c r="AB23" i="4"/>
  <c r="L24" i="4"/>
  <c r="X24" i="4"/>
  <c r="N6" i="4"/>
  <c r="N35" i="4" s="1"/>
  <c r="I6" i="4"/>
  <c r="I35" i="4" s="1"/>
  <c r="L6" i="4"/>
  <c r="L35" i="4" s="1"/>
  <c r="X6" i="4"/>
  <c r="X35" i="4" s="1"/>
  <c r="M24" i="4"/>
  <c r="Y24" i="4"/>
  <c r="C8" i="3"/>
  <c r="Y6" i="4"/>
  <c r="Y35" i="4" s="1"/>
  <c r="B24" i="4"/>
  <c r="Z6" i="4"/>
  <c r="Z35" i="4" s="1"/>
  <c r="E13" i="4"/>
  <c r="E17" i="4" s="1"/>
  <c r="Q13" i="4"/>
  <c r="Q17" i="4" s="1"/>
  <c r="AC13" i="4"/>
  <c r="AC17" i="4" s="1"/>
  <c r="K22" i="4"/>
  <c r="K25" i="4" s="1"/>
  <c r="K26" i="4" s="1"/>
  <c r="W22" i="4"/>
  <c r="W25" i="4" s="1"/>
  <c r="B17" i="5"/>
  <c r="AA6" i="4"/>
  <c r="AA35" i="4" s="1"/>
  <c r="F13" i="4"/>
  <c r="F17" i="4" s="1"/>
  <c r="R13" i="4"/>
  <c r="R17" i="4" s="1"/>
  <c r="C17" i="5"/>
  <c r="AB6" i="4"/>
  <c r="AB35" i="4" s="1"/>
  <c r="D17" i="5"/>
  <c r="AC6" i="4"/>
  <c r="AC35" i="4" s="1"/>
  <c r="M6" i="4"/>
  <c r="M35" i="4" s="1"/>
  <c r="C6" i="4"/>
  <c r="C35" i="4" s="1"/>
  <c r="D6" i="4"/>
  <c r="D35" i="4" s="1"/>
  <c r="E6" i="4"/>
  <c r="E35" i="4" s="1"/>
  <c r="Q6" i="4"/>
  <c r="Q35" i="4" s="1"/>
  <c r="F6" i="4"/>
  <c r="F35" i="4" s="1"/>
  <c r="R6" i="4"/>
  <c r="R35" i="4" s="1"/>
  <c r="S6" i="4"/>
  <c r="S35" i="4" s="1"/>
  <c r="B35" i="4"/>
  <c r="O6" i="4"/>
  <c r="O35" i="4" s="1"/>
  <c r="P6" i="4"/>
  <c r="P35" i="4" s="1"/>
  <c r="G6" i="4"/>
  <c r="G35" i="4" s="1"/>
  <c r="H6" i="4"/>
  <c r="H35" i="4" s="1"/>
  <c r="T6" i="4"/>
  <c r="T35" i="4" s="1"/>
  <c r="AC22" i="4"/>
  <c r="AC25" i="4" s="1"/>
  <c r="B29" i="4" l="1"/>
  <c r="B31" i="4" s="1"/>
  <c r="B30" i="4"/>
  <c r="S26" i="4"/>
  <c r="F26" i="4"/>
  <c r="E18" i="4"/>
  <c r="E19" i="4"/>
  <c r="Z18" i="4"/>
  <c r="Z19" i="4" s="1"/>
  <c r="Z27" i="4" s="1"/>
  <c r="Z29" i="4" s="1"/>
  <c r="B21" i="5"/>
  <c r="B20" i="5"/>
  <c r="C21" i="5"/>
  <c r="C20" i="5"/>
  <c r="U28" i="4"/>
  <c r="I28" i="4"/>
  <c r="T28" i="4"/>
  <c r="H28" i="4"/>
  <c r="S28" i="4"/>
  <c r="G28" i="4"/>
  <c r="R28" i="4"/>
  <c r="F28" i="4"/>
  <c r="Q28" i="4"/>
  <c r="E28" i="4"/>
  <c r="P28" i="4"/>
  <c r="D28" i="4"/>
  <c r="O28" i="4"/>
  <c r="C28" i="4"/>
  <c r="Z28" i="4"/>
  <c r="N28" i="4"/>
  <c r="Y28" i="4"/>
  <c r="M28" i="4"/>
  <c r="X28" i="4"/>
  <c r="L28" i="4"/>
  <c r="W28" i="4"/>
  <c r="K28" i="4"/>
  <c r="V28" i="4"/>
  <c r="J28" i="4"/>
  <c r="U19" i="4"/>
  <c r="U27" i="4" s="1"/>
  <c r="U29" i="4" s="1"/>
  <c r="U18" i="4"/>
  <c r="D20" i="5"/>
  <c r="D21" i="5"/>
  <c r="AB25" i="4"/>
  <c r="F18" i="4"/>
  <c r="F19" i="4"/>
  <c r="F27" i="4" s="1"/>
  <c r="I25" i="4"/>
  <c r="I26" i="4" s="1"/>
  <c r="V18" i="4"/>
  <c r="V19" i="4" s="1"/>
  <c r="V27" i="4" s="1"/>
  <c r="V29" i="4" s="1"/>
  <c r="T19" i="4"/>
  <c r="T27" i="4" s="1"/>
  <c r="T29" i="4" s="1"/>
  <c r="T18" i="4"/>
  <c r="X25" i="4"/>
  <c r="X26" i="4" s="1"/>
  <c r="M18" i="4"/>
  <c r="M19" i="4" s="1"/>
  <c r="R18" i="4"/>
  <c r="R19" i="4" s="1"/>
  <c r="R27" i="4" s="1"/>
  <c r="R29" i="4" s="1"/>
  <c r="V26" i="4"/>
  <c r="I18" i="4"/>
  <c r="I19" i="4" s="1"/>
  <c r="I27" i="4" s="1"/>
  <c r="I29" i="4" s="1"/>
  <c r="S18" i="4"/>
  <c r="S19" i="4"/>
  <c r="S27" i="4" s="1"/>
  <c r="S29" i="4" s="1"/>
  <c r="C25" i="4"/>
  <c r="C26" i="4" s="1"/>
  <c r="P18" i="4"/>
  <c r="P19" i="4"/>
  <c r="G26" i="4"/>
  <c r="Y18" i="4"/>
  <c r="Y19" i="4" s="1"/>
  <c r="U26" i="4"/>
  <c r="O18" i="4"/>
  <c r="O19" i="4" s="1"/>
  <c r="O27" i="4" s="1"/>
  <c r="O29" i="4" s="1"/>
  <c r="B7" i="6"/>
  <c r="AA19" i="4"/>
  <c r="AA18" i="4"/>
  <c r="B8" i="6"/>
  <c r="G18" i="4"/>
  <c r="G19" i="4"/>
  <c r="G27" i="4" s="1"/>
  <c r="G29" i="4" s="1"/>
  <c r="P25" i="4"/>
  <c r="Q26" i="4" s="1"/>
  <c r="AB18" i="4"/>
  <c r="B9" i="6"/>
  <c r="AB19" i="4"/>
  <c r="H26" i="4"/>
  <c r="W26" i="4"/>
  <c r="W27" i="4" s="1"/>
  <c r="W29" i="4" s="1"/>
  <c r="J26" i="4"/>
  <c r="AA25" i="4"/>
  <c r="AA26" i="4" s="1"/>
  <c r="L25" i="4"/>
  <c r="L26" i="4" s="1"/>
  <c r="D18" i="4"/>
  <c r="D19" i="4" s="1"/>
  <c r="H18" i="4"/>
  <c r="H19" i="4" s="1"/>
  <c r="H27" i="4" s="1"/>
  <c r="H29" i="4" s="1"/>
  <c r="N18" i="4"/>
  <c r="N19" i="4" s="1"/>
  <c r="N27" i="4" s="1"/>
  <c r="N29" i="4" s="1"/>
  <c r="C18" i="4"/>
  <c r="C19" i="4" s="1"/>
  <c r="C27" i="4" s="1"/>
  <c r="B6" i="6"/>
  <c r="X18" i="4"/>
  <c r="X19" i="4" s="1"/>
  <c r="X27" i="4" s="1"/>
  <c r="X29" i="4" s="1"/>
  <c r="J18" i="4"/>
  <c r="J19" i="4" s="1"/>
  <c r="J27" i="4" s="1"/>
  <c r="J29" i="4" s="1"/>
  <c r="AC26" i="4"/>
  <c r="L19" i="4"/>
  <c r="L27" i="4" s="1"/>
  <c r="L29" i="4" s="1"/>
  <c r="L18" i="4"/>
  <c r="D25" i="4"/>
  <c r="AC18" i="4"/>
  <c r="B10" i="6"/>
  <c r="AC19" i="4"/>
  <c r="AC27" i="4" s="1"/>
  <c r="O25" i="4"/>
  <c r="O26" i="4" s="1"/>
  <c r="Q18" i="4"/>
  <c r="Q19" i="4" s="1"/>
  <c r="Q27" i="4" s="1"/>
  <c r="Q29" i="4" s="1"/>
  <c r="K27" i="4"/>
  <c r="C29" i="4" l="1"/>
  <c r="F29" i="4"/>
  <c r="AC29" i="4"/>
  <c r="C7" i="2"/>
  <c r="D26" i="4"/>
  <c r="D27" i="4" s="1"/>
  <c r="Y26" i="4"/>
  <c r="Y27" i="4" s="1"/>
  <c r="Y29" i="4" s="1"/>
  <c r="AB26" i="4"/>
  <c r="AB27" i="4" s="1"/>
  <c r="AB29" i="4" s="1"/>
  <c r="C31" i="4"/>
  <c r="AA27" i="4"/>
  <c r="AA29" i="4" s="1"/>
  <c r="P26" i="4"/>
  <c r="E26" i="4"/>
  <c r="E27" i="4" s="1"/>
  <c r="E29" i="4" s="1"/>
  <c r="K29" i="4"/>
  <c r="M26" i="4"/>
  <c r="M27" i="4" s="1"/>
  <c r="M29" i="4" s="1"/>
  <c r="P27" i="4"/>
  <c r="P29" i="4" s="1"/>
  <c r="C30" i="4"/>
  <c r="F23" i="6"/>
  <c r="D21" i="6"/>
  <c r="B19" i="6"/>
  <c r="E23" i="6"/>
  <c r="C21" i="6"/>
  <c r="D23" i="6"/>
  <c r="B21" i="6"/>
  <c r="C23" i="6"/>
  <c r="F20" i="6"/>
  <c r="B23" i="6"/>
  <c r="E20" i="6"/>
  <c r="F22" i="6"/>
  <c r="D20" i="6"/>
  <c r="E22" i="6"/>
  <c r="C20" i="6"/>
  <c r="D22" i="6"/>
  <c r="B20" i="6"/>
  <c r="C22" i="6"/>
  <c r="F19" i="6"/>
  <c r="B22" i="6"/>
  <c r="E19" i="6"/>
  <c r="F21" i="6"/>
  <c r="D19" i="6"/>
  <c r="E21" i="6"/>
  <c r="C19" i="6"/>
  <c r="D29" i="4" l="1"/>
  <c r="K38" i="4"/>
  <c r="D38" i="4"/>
  <c r="V38" i="4"/>
  <c r="T38" i="4"/>
  <c r="W38" i="4"/>
  <c r="Q38" i="4"/>
  <c r="AA38" i="4"/>
  <c r="AB38" i="4"/>
  <c r="Y38" i="4"/>
  <c r="X38" i="4"/>
  <c r="M38" i="4"/>
  <c r="H38" i="4"/>
  <c r="G38" i="4"/>
  <c r="AC38" i="4"/>
  <c r="O38" i="4"/>
  <c r="R38" i="4"/>
  <c r="I38" i="4"/>
  <c r="Z38" i="4"/>
  <c r="J38" i="4"/>
  <c r="S38" i="4"/>
  <c r="N38" i="4"/>
  <c r="L38" i="4"/>
  <c r="E38" i="4"/>
  <c r="C38" i="4"/>
  <c r="U38" i="4"/>
  <c r="F38" i="4"/>
  <c r="B38" i="4"/>
  <c r="P38" i="4"/>
  <c r="D30" i="4"/>
  <c r="E30" i="4" s="1"/>
  <c r="F30" i="4" s="1"/>
  <c r="G30" i="4" s="1"/>
  <c r="H30" i="4" s="1"/>
  <c r="I30" i="4" s="1"/>
  <c r="J30" i="4" s="1"/>
  <c r="K30" i="4" s="1"/>
  <c r="L30" i="4" s="1"/>
  <c r="M30" i="4" s="1"/>
  <c r="N30" i="4" s="1"/>
  <c r="O30" i="4" s="1"/>
  <c r="P30" i="4" s="1"/>
  <c r="Q30" i="4" s="1"/>
  <c r="R30" i="4" s="1"/>
  <c r="S30" i="4" s="1"/>
  <c r="T30" i="4" s="1"/>
  <c r="U30" i="4" s="1"/>
  <c r="V30" i="4" s="1"/>
  <c r="W30" i="4" s="1"/>
  <c r="X30" i="4" s="1"/>
  <c r="Y30" i="4" s="1"/>
  <c r="Z30" i="4" s="1"/>
  <c r="AA30" i="4" s="1"/>
  <c r="AB30" i="4" s="1"/>
  <c r="AC30" i="4" s="1"/>
  <c r="D31" i="4"/>
  <c r="E31" i="4" s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AC31" i="4" s="1"/>
  <c r="C13" i="2"/>
  <c r="B39" i="4" l="1"/>
  <c r="B40" i="4" s="1"/>
  <c r="C10" i="2" s="1"/>
  <c r="B32" i="4"/>
  <c r="C6" i="2"/>
  <c r="C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C7" authorId="0" shapeId="0" xr:uid="{BE0C2783-3C1E-43E6-B0C1-590B115DD2E7}">
      <text>
        <r>
          <rPr>
            <sz val="9"/>
            <color indexed="81"/>
            <rFont val="Tahoma"/>
            <family val="2"/>
            <charset val="204"/>
          </rPr>
          <t>Логика: берём денежный поток Года 5 (≈70,8 млн ₽) и консервативно предполагаем, что в Годы 6 и 7 он останется таким же (без роста — не тащим оптимизм за пределы того, что реально посчитали), и просто дисконтируем эти два «дополнительных» года по той же ставке, что и всё остальное:
Остаточная стоимость = FCF₅ / (1+20%)^6 + FCF₅ / (1+20%)^7
                      = 70 790 000 / 2,986 + 70 790 000 / 3,583
                      ≈ 23 707 000 + 19 757 000
                      ≈ 43 464 000 ₽
Степень 6 — потому что Год 6 наступает через 6 лет от старта, степень 7 — потому что Год 7 через 7 лет. 
Почему именно 2 года, а не «навсегда» (как в классической формуле терминальной стоимости через бесконечный рост)? Потому что это привязано к сроку жизни конкретного оборудования — после 7 лет его, скорее всего, надо будет обновлять, а это уже отдельное инвестиционное решение, которое модель не берётся предсказывать.</t>
        </r>
      </text>
    </comment>
    <comment ref="C13" authorId="0" shapeId="0" xr:uid="{086C11FE-B6CE-423D-AB08-3387BB7DD1FD}">
      <text>
        <r>
          <rPr>
            <sz val="9"/>
            <color indexed="81"/>
            <rFont val="Tahoma"/>
            <family val="2"/>
            <charset val="204"/>
          </rPr>
          <t xml:space="preserve">Срок окупаемости: «в какой момент накопленный денежный поток впервые становится из отрицательного положительным». 
По цифрам в модели:
на отметке «Год 3» накопленный поток = −39 491 429 ₽ (ещё в минусе)
на отметке «Год 4» = +19 148 571 ₽ (уже в плюсе)
Значит, </t>
        </r>
        <r>
          <rPr>
            <b/>
            <sz val="9"/>
            <color indexed="81"/>
            <rFont val="Tahoma"/>
            <family val="2"/>
            <charset val="204"/>
          </rPr>
          <t>переход через ноль произошёл где-то ВНУТРИ Года 4</t>
        </r>
        <r>
          <rPr>
            <sz val="9"/>
            <color indexed="81"/>
            <rFont val="Tahoma"/>
            <family val="2"/>
            <charset val="204"/>
          </rPr>
          <t>. 
Прикидываем — где именно: за весь Год 4 денежный поток прибавил 39 491 429 + 19 148 571 = 58 640 000 ₽. Чтобы долезть до нуля, нам нужно было 39 491 429 ₽ из них — это 67% от того, что Год 4 принёс за весь год. Если предположить, что деньги поступают равномерно в течение года, то ноль пройден примерно на 67% пути через Год 4:
Срок окупаемости ≈ 3 года + 0,67 × 1 год ≈ 3,67 года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2" authorId="0" shapeId="0" xr:uid="{00000000-0006-0000-0300-000001000000}">
      <text>
        <r>
          <rPr>
            <sz val="10"/>
            <rFont val="Arial"/>
            <family val="2"/>
          </rPr>
          <t>AR</t>
        </r>
      </text>
    </comment>
    <comment ref="A23" authorId="0" shapeId="0" xr:uid="{00000000-0006-0000-0300-000002000000}">
      <text>
        <r>
          <rPr>
            <sz val="10"/>
            <rFont val="Arial"/>
            <family val="2"/>
          </rPr>
          <t>Inventory</t>
        </r>
      </text>
    </comment>
    <comment ref="A24" authorId="0" shapeId="0" xr:uid="{00000000-0006-0000-0300-000003000000}">
      <text>
        <r>
          <rPr>
            <sz val="10"/>
            <rFont val="Arial"/>
            <family val="2"/>
          </rPr>
          <t>AP</t>
        </r>
      </text>
    </comment>
  </commentList>
</comments>
</file>

<file path=xl/sharedStrings.xml><?xml version="1.0" encoding="utf-8"?>
<sst xmlns="http://schemas.openxmlformats.org/spreadsheetml/2006/main" count="212" uniqueCount="189">
  <si>
    <t>Финансовая модель: запуск нового продукта</t>
  </si>
  <si>
    <t>Инвестиционное решение о запуске новой линейки промышленных чиллеров</t>
  </si>
  <si>
    <t>О модели</t>
  </si>
  <si>
    <t>Итоги — Главные цифры: NPV, IRR, срок окупаемости, 2 графика — для быстрого просмотра</t>
  </si>
  <si>
    <t>Допущения — Все вводные данные с источником/обоснованием для каждой группы</t>
  </si>
  <si>
    <t>Сценарии — Пессимистичный / База / Оптимистичный — сравнение по годам</t>
  </si>
  <si>
    <t>Чувствительность — Как меняется NPV при изменении цены и ставки дисконтирования</t>
  </si>
  <si>
    <t>Легенда цвета ячеек</t>
  </si>
  <si>
    <t>Синий текст — вводные данные — можно менять</t>
  </si>
  <si>
    <t>Чёрный текст — формула — рассчитывается автоматически</t>
  </si>
  <si>
    <t>Зелёный текст — ссылка на другой лист</t>
  </si>
  <si>
    <t>Жёлтая заливка — ключевое допущение, к которому стоит вернуться в первую очередь</t>
  </si>
  <si>
    <t>Итоги: запуск новой линейки промышленных чиллеров</t>
  </si>
  <si>
    <t>NPV, IRR, срок окупаемости</t>
  </si>
  <si>
    <t>NPV на явном горизонте (5 лет), руб.</t>
  </si>
  <si>
    <t>+ Остаточная стоимость (2 доп. года по уровню Года 5, без роста — консервативно)</t>
  </si>
  <si>
    <t>ИТОГОВЫЙ NPV, руб.</t>
  </si>
  <si>
    <t>IRR (перебор ставок по факт. датам ден. потока)</t>
  </si>
  <si>
    <t>Ставка дисконтирования (для сравнения)</t>
  </si>
  <si>
    <t>Срок окупаемости (недисконтированный), лет</t>
  </si>
  <si>
    <t>лет</t>
  </si>
  <si>
    <t>Линейная интерполяция между последним отрицательным и первым положительным накопленным FCF по фактическим датам (не по номеру периода — периоды разной длины)</t>
  </si>
  <si>
    <t>Графики</t>
  </si>
  <si>
    <t>Допущения</t>
  </si>
  <si>
    <t>Параметр</t>
  </si>
  <si>
    <t>Значение</t>
  </si>
  <si>
    <t>Ед. изм.</t>
  </si>
  <si>
    <t>Источник / обоснование</t>
  </si>
  <si>
    <t>1. Ставка дисконтирования</t>
  </si>
  <si>
    <t>Ключевая ставка ЦБ РФ, год.</t>
  </si>
  <si>
    <t>%</t>
  </si>
  <si>
    <t>Решение Совета директоров Банка России от 24.07.2026 — снижение до 14,00% годовых</t>
  </si>
  <si>
    <t>Премия за риск нового продукта</t>
  </si>
  <si>
    <t>Экспертная оценка. Рыночная премия за риск в РФ обычно 6–9 п.п. сверх безрисковой ставки (метод кумулятивного построения); взят нижний край диапазона, т.к. продукт запускается на действующем производстве и сбыте, а не «с нуля»</t>
  </si>
  <si>
    <t>Ставка дисконтирования, годовая</t>
  </si>
  <si>
    <t>Ключевая ставка + премия за риск</t>
  </si>
  <si>
    <t>Ставка дисконтирования, месячная</t>
  </si>
  <si>
    <t>(1+годовая)^(1/12) − 1, корректная конвертация через сложный процент, а не деление на 12</t>
  </si>
  <si>
    <t>2. Рынок и продукт</t>
  </si>
  <si>
    <t>Средняя цена за единицу (Год 1–4)</t>
  </si>
  <si>
    <t>₽/шт</t>
  </si>
  <si>
    <t>Порядок величины по открытым прайс-листам промышленных чиллеров средней/повышенной мощности (среднероссийская мощность чиллера &gt;300 кВт)</t>
  </si>
  <si>
    <t>Темп роста рынка</t>
  </si>
  <si>
    <t>%/год</t>
  </si>
  <si>
    <t>Ориентир по открытым обзорам рынка промышленного холодильного оборудования РФ (рост объёма рынка на фоне импортозамещения после ухода ряда зарубежных брендов)</t>
  </si>
  <si>
    <t>Прирост цены в Год 5 (реализация рыночного роста, когда объём упирается в мощность)</t>
  </si>
  <si>
    <t>Равно темпу роста рынка: после выхода на потолок мощности рост показывается в цене, а не в объёме</t>
  </si>
  <si>
    <t>3. Мощность и CAPEX</t>
  </si>
  <si>
    <t>Начальный CAPEX (Мес. 0)</t>
  </si>
  <si>
    <t>₽</t>
  </si>
  <si>
    <t>Оценка включает: адаптация производственной линии, оснастка, сертификация новой модели.</t>
  </si>
  <si>
    <t>Начальная мощность</t>
  </si>
  <si>
    <t>шт/мес</t>
  </si>
  <si>
    <t>Допущение согласно масштабу CAPEX выше</t>
  </si>
  <si>
    <t>CAPEX расширения (начало Года 3)</t>
  </si>
  <si>
    <t>Оценка расширения мощности под растущий спрос</t>
  </si>
  <si>
    <t>Мощность после расширения</t>
  </si>
  <si>
    <t>Срок полезного использования оборудования</t>
  </si>
  <si>
    <t>Промышленное технологическое оборудование обычно относится к 4–5 амортизационной группе (СПИ 5–10 лет по Классификации ОС РФ); взята середина диапазона</t>
  </si>
  <si>
    <t>4. Затраты</t>
  </si>
  <si>
    <t>Переменные затраты на единицу</t>
  </si>
  <si>
    <t>≈63% от цены &gt; маржинальность (выручка−переем.затраты)/выручка ≈ 36,7% — ориентир на валовую маржу производственного бизнеса до вычета пост. затрат</t>
  </si>
  <si>
    <t>Постоянные затраты (произв.+админ.), Год 1–2</t>
  </si>
  <si>
    <t>₽/мес</t>
  </si>
  <si>
    <t>Оценка для начальной мощности</t>
  </si>
  <si>
    <t>Постоянные затраты (произв.+админ.), Год 3+</t>
  </si>
  <si>
    <t>Рост пропорционально расширению мощности</t>
  </si>
  <si>
    <t>Маркетинг и продажи, Год 1–2</t>
  </si>
  <si>
    <t>Ориентир: 2 менеджера по работе с B2B-клиентами (полная стоимость) + участие в отраслевых выставках/каталоги</t>
  </si>
  <si>
    <t>Маркетинг и продажи, Год 3+</t>
  </si>
  <si>
    <t>Расширение команды продаж пропорционально мощности</t>
  </si>
  <si>
    <t>5. Продажи и оборотный капитал</t>
  </si>
  <si>
    <t>Средний цикл сделки B2B</t>
  </si>
  <si>
    <t>мес</t>
  </si>
  <si>
    <t>Для промышленного оборудования — от нескольких месяцев до года и более (как обоснование медленного разгона продаж в допущении по объёму в Модели)</t>
  </si>
  <si>
    <t>Длина периода</t>
  </si>
  <si>
    <t>дней</t>
  </si>
  <si>
    <t>Запасы: средний срок оборачиваемости</t>
  </si>
  <si>
    <t>Поставил экспертно 1,5 месяца - зависит от производства</t>
  </si>
  <si>
    <t>Отсрочка платежа (DSO)</t>
  </si>
  <si>
    <t>Стандартная практика для B2B-продаж капитального оборудования; конвертация: 45/30 для месячных периодов, 45/360 для годовых (день/360 конвенция)</t>
  </si>
  <si>
    <t>Отсрочка поставщиков (DPO)</t>
  </si>
  <si>
    <t>Зависит от условий, на которых работаем с поставщиками</t>
  </si>
  <si>
    <t>6. Налоги</t>
  </si>
  <si>
    <t>Ставка налога на прибыль</t>
  </si>
  <si>
    <t>Ставка налога на прибыль организаций в РФ</t>
  </si>
  <si>
    <t>7. Переключатель сценария (используется на листе «Сценарии»)</t>
  </si>
  <si>
    <t>Активный сценарий</t>
  </si>
  <si>
    <t>База</t>
  </si>
  <si>
    <t>Выпадающий список — переключает набор допущений на вкладке «Сценарии»</t>
  </si>
  <si>
    <t>Длина периода (год), дней</t>
  </si>
  <si>
    <t>Модель: помесячно (Год 1–2) и по годам (Год 3–5)</t>
  </si>
  <si>
    <t>Период</t>
  </si>
  <si>
    <t>Мес. 0</t>
  </si>
  <si>
    <t>Мес. 1</t>
  </si>
  <si>
    <t>Мес. 2</t>
  </si>
  <si>
    <t>Мес. 3</t>
  </si>
  <si>
    <t>Мес. 4</t>
  </si>
  <si>
    <t>Мес. 5</t>
  </si>
  <si>
    <t>Мес. 6</t>
  </si>
  <si>
    <t>Мес. 7</t>
  </si>
  <si>
    <t>Мес. 8</t>
  </si>
  <si>
    <t>Мес. 9</t>
  </si>
  <si>
    <t>Мес. 10</t>
  </si>
  <si>
    <t>Мес. 11</t>
  </si>
  <si>
    <t>Мес. 12</t>
  </si>
  <si>
    <t>Мес. 13</t>
  </si>
  <si>
    <t>Мес. 14</t>
  </si>
  <si>
    <t>Мес. 15</t>
  </si>
  <si>
    <t>Мес. 16</t>
  </si>
  <si>
    <t>Мес. 17</t>
  </si>
  <si>
    <t>Мес. 18</t>
  </si>
  <si>
    <t>Мес. 19</t>
  </si>
  <si>
    <t>Мес. 20</t>
  </si>
  <si>
    <t>Мес. 21</t>
  </si>
  <si>
    <t>Мес. 22</t>
  </si>
  <si>
    <t>Мес. 23</t>
  </si>
  <si>
    <t>Мес. 24</t>
  </si>
  <si>
    <t>Год 3</t>
  </si>
  <si>
    <t>Год 4</t>
  </si>
  <si>
    <t>Год 5</t>
  </si>
  <si>
    <t>Дата периода (для XIRR/IRR)</t>
  </si>
  <si>
    <t>Мощность, шт./период</t>
  </si>
  <si>
    <t>Объём продаж, шт.</t>
  </si>
  <si>
    <t>Цена за единицу, руб.</t>
  </si>
  <si>
    <t>Выручка, руб.</t>
  </si>
  <si>
    <t>Переменные затраты на ед., руб.</t>
  </si>
  <si>
    <t>Переменные затраты, руб.</t>
  </si>
  <si>
    <t>Маржинальная прибыль, руб.</t>
  </si>
  <si>
    <t>Постоянные затраты (произв.+админ.), руб.</t>
  </si>
  <si>
    <t>Маркетинг и продажи, руб.</t>
  </si>
  <si>
    <t>Амортизация, руб.</t>
  </si>
  <si>
    <t>EBIT, руб.</t>
  </si>
  <si>
    <t>Налог на прибыль, руб.</t>
  </si>
  <si>
    <t>Чистая прибыль, руб.</t>
  </si>
  <si>
    <t>+ Амортизация (неденежная статья), руб.</t>
  </si>
  <si>
    <t>− CAPEX, руб.</t>
  </si>
  <si>
    <t>Дебиторская задолженность (баланс), руб.</t>
  </si>
  <si>
    <t>Запасы, руб.</t>
  </si>
  <si>
    <t>Кредиторская задолженность (поставщики), руб.</t>
  </si>
  <si>
    <t>Чистый оборотный капитал (NWC), руб.</t>
  </si>
  <si>
    <t>− Изменение NWC, руб.</t>
  </si>
  <si>
    <t>Свободный денежный поток (FCF), руб.</t>
  </si>
  <si>
    <t>Коэффициент дисконтирования</t>
  </si>
  <si>
    <t>Дисконтированный FCF, руб.</t>
  </si>
  <si>
    <t>Накопленный FCF, руб.</t>
  </si>
  <si>
    <t>Накопленный дисконтированный FCF, руб.</t>
  </si>
  <si>
    <t>NPV</t>
  </si>
  <si>
    <t>Вспомогательный расчёт IRR (перебор ставок)</t>
  </si>
  <si>
    <t>Лет с начала проекта</t>
  </si>
  <si>
    <t>Ставка (перебор)</t>
  </si>
  <si>
    <t>NPV при этой ставке</t>
  </si>
  <si>
    <t>Индекс последней ставки с NPV&gt;=0</t>
  </si>
  <si>
    <t>IRR (линейная интерполяция), год.</t>
  </si>
  <si>
    <t>Сценарии: Пессимистичный / База / Оптимистичный</t>
  </si>
  <si>
    <t>Упрощённое погодовое сравнение — множители применяются к компонентам выручки и затрат базового сценария (лист «Модель»), без повторного построения полной помесячной модели.</t>
  </si>
  <si>
    <t>1. Множители сценария</t>
  </si>
  <si>
    <t>Пессимистичный</t>
  </si>
  <si>
    <t>Оптимистичный</t>
  </si>
  <si>
    <t>Объём продаж</t>
  </si>
  <si>
    <t>Цена</t>
  </si>
  <si>
    <t>Переменные затраты/ед.</t>
  </si>
  <si>
    <t>Постоянные затраты (произв.+админ.+маркетинг)</t>
  </si>
  <si>
    <t>2. EBIT по годам, руб.</t>
  </si>
  <si>
    <t>Год 1</t>
  </si>
  <si>
    <t>Год 2</t>
  </si>
  <si>
    <t>3. Итоговые метрики (EBIT после налога, без CAPEX/оборотного капитала — для быстрого сравнения риска)</t>
  </si>
  <si>
    <t>Сумма чистой прибыли за 5 лет, руб.</t>
  </si>
  <si>
    <t>Средний годовой EBIT, руб.</t>
  </si>
  <si>
    <t>Полный NPV/IRR с учётом CAPEX и оборотного капитала считается только для Базового сценария (листы «Модель» и «Итоги») — сравнение выше показывает направление и масштаб риска по операционной прибыли, а не альтернативный NPV.</t>
  </si>
  <si>
    <t>Чувствительность NPV к цене и ставке дисконтирования</t>
  </si>
  <si>
    <t>Упрощённый расчёт на годовой основе: цена и оборотный капитал масштабируются по годам (а не помесячно, как в базовой модели), поэтому центральная ячейка (цена 100%, ставка 20%) может на 1–3% отличаться от точного NPV на листе «Итоги» — из-за разной гранулярности дисконтирования, а не из-за ошибки.</t>
  </si>
  <si>
    <t>Вспомогательные годовые данные (база, множитель цены = 100%)</t>
  </si>
  <si>
    <t>EBIT баз., Год 1</t>
  </si>
  <si>
    <t>EBIT баз., Год 2</t>
  </si>
  <si>
    <t>EBIT баз., Год 3</t>
  </si>
  <si>
    <t>EBIT баз., Год 4</t>
  </si>
  <si>
    <t>EBIT баз., Год 5</t>
  </si>
  <si>
    <t>Выручка баз., Год 1</t>
  </si>
  <si>
    <t>Выручка баз., Год 2</t>
  </si>
  <si>
    <t>Выручка баз., Год 3</t>
  </si>
  <si>
    <t>Выручка баз., Год 4</t>
  </si>
  <si>
    <t>Выручка баз., Год 5</t>
  </si>
  <si>
    <t>Сетка: ИТОГОВЫЙ NPV (5 лет + консервативная остаточная стоимость), руб.</t>
  </si>
  <si>
    <t>Цена \ Ставка дисконт.</t>
  </si>
  <si>
    <t>Модель — Помесячный расчёт (год 1–2) и погодовой (год 3–5): выручка &gt; затраты &gt; EBIT &gt; FCF</t>
  </si>
  <si>
    <t>Структура и содержание</t>
  </si>
  <si>
    <t>Иллюстративный кейс для портфолио: оценка запуска нового продукта на существующем производстве. Все цифры — обобщённые допущения, НЕ реальные показатели конкретной компании.</t>
  </si>
  <si>
    <t>Используется для расчета NWC, но для ГОДОВЫХ колонок (Год 3-5)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</si>
</sst>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0%"/>
    <numFmt numFmtId="167" formatCode="dd\.mm\.yyyy"/>
    <numFmt numFmtId="168" formatCode="0.0000"/>
  </numFmts>
  <fonts count="1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4"/>
      <name val="Calibri"/>
      <family val="2"/>
      <charset val="204"/>
      <scheme val="minor"/>
    </font>
    <font>
      <i/>
      <sz val="12"/>
      <color rgb="FF595959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rgb="FF0000F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8000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20"/>
      <color rgb="FF1F4E78"/>
      <name val="Calibri"/>
      <family val="2"/>
      <charset val="204"/>
      <scheme val="minor"/>
    </font>
    <font>
      <i/>
      <sz val="11"/>
      <color rgb="FF808080"/>
      <name val="Calibri"/>
      <family val="2"/>
      <charset val="204"/>
      <scheme val="minor"/>
    </font>
    <font>
      <i/>
      <sz val="9"/>
      <color rgb="FF808080"/>
      <name val="Calibri"/>
      <family val="2"/>
      <charset val="204"/>
      <scheme val="minor"/>
    </font>
    <font>
      <b/>
      <sz val="11"/>
      <color rgb="FF0000FF"/>
      <name val="Calibri"/>
      <family val="2"/>
      <charset val="204"/>
      <scheme val="minor"/>
    </font>
    <font>
      <b/>
      <sz val="9"/>
      <color rgb="FF80808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B6290"/>
      </patternFill>
    </fill>
    <fill>
      <patternFill patternType="solid">
        <fgColor rgb="FFFFF2CC"/>
        <bgColor rgb="FFF2F2F2"/>
      </patternFill>
    </fill>
    <fill>
      <patternFill patternType="solid">
        <fgColor rgb="FF1F4E78"/>
        <bgColor rgb="FF305496"/>
      </patternFill>
    </fill>
    <fill>
      <patternFill patternType="solid">
        <fgColor rgb="FFF2F2F2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2" borderId="0" xfId="0" applyFont="1" applyFill="1"/>
    <xf numFmtId="0" fontId="1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3" borderId="0" xfId="0" applyFont="1" applyFill="1"/>
    <xf numFmtId="0" fontId="11" fillId="0" borderId="0" xfId="0" applyFont="1"/>
    <xf numFmtId="0" fontId="1" fillId="2" borderId="0" xfId="0" applyFont="1" applyFill="1"/>
    <xf numFmtId="3" fontId="10" fillId="0" borderId="0" xfId="0" applyNumberFormat="1" applyFont="1"/>
    <xf numFmtId="0" fontId="12" fillId="0" borderId="0" xfId="0" applyFont="1"/>
    <xf numFmtId="3" fontId="13" fillId="3" borderId="0" xfId="0" applyNumberFormat="1" applyFont="1" applyFill="1"/>
    <xf numFmtId="0" fontId="12" fillId="0" borderId="0" xfId="0" applyFont="1" applyAlignment="1">
      <alignment vertical="top" wrapText="1"/>
    </xf>
    <xf numFmtId="164" fontId="13" fillId="3" borderId="0" xfId="0" applyNumberFormat="1" applyFont="1" applyFill="1"/>
    <xf numFmtId="164" fontId="10" fillId="0" borderId="0" xfId="0" applyNumberFormat="1" applyFont="1"/>
    <xf numFmtId="165" fontId="10" fillId="0" borderId="0" xfId="0" applyNumberFormat="1" applyFont="1"/>
    <xf numFmtId="0" fontId="14" fillId="0" borderId="0" xfId="0" applyFont="1"/>
    <xf numFmtId="0" fontId="15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7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/>
    </xf>
    <xf numFmtId="10" fontId="8" fillId="3" borderId="0" xfId="0" applyNumberFormat="1" applyFont="1" applyFill="1" applyAlignment="1">
      <alignment vertical="top"/>
    </xf>
    <xf numFmtId="10" fontId="9" fillId="0" borderId="0" xfId="0" applyNumberFormat="1" applyFont="1" applyAlignment="1">
      <alignment vertical="top"/>
    </xf>
    <xf numFmtId="166" fontId="9" fillId="0" borderId="0" xfId="0" applyNumberFormat="1" applyFont="1" applyAlignment="1">
      <alignment vertical="top"/>
    </xf>
    <xf numFmtId="3" fontId="8" fillId="3" borderId="0" xfId="0" applyNumberFormat="1" applyFont="1" applyFill="1" applyAlignment="1">
      <alignment vertical="top"/>
    </xf>
    <xf numFmtId="10" fontId="8" fillId="0" borderId="0" xfId="0" applyNumberFormat="1" applyFont="1" applyAlignment="1">
      <alignment vertical="top"/>
    </xf>
    <xf numFmtId="3" fontId="8" fillId="0" borderId="0" xfId="0" applyNumberFormat="1" applyFont="1" applyAlignment="1">
      <alignment vertical="top"/>
    </xf>
    <xf numFmtId="0" fontId="16" fillId="3" borderId="0" xfId="0" applyFont="1" applyFill="1" applyAlignment="1">
      <alignment vertical="top"/>
    </xf>
    <xf numFmtId="0" fontId="1" fillId="4" borderId="0" xfId="0" applyFont="1" applyFill="1"/>
    <xf numFmtId="0" fontId="12" fillId="5" borderId="0" xfId="0" applyFont="1" applyFill="1"/>
    <xf numFmtId="167" fontId="8" fillId="0" borderId="0" xfId="0" applyNumberFormat="1" applyFont="1"/>
    <xf numFmtId="167" fontId="9" fillId="0" borderId="0" xfId="0" applyNumberFormat="1" applyFont="1"/>
    <xf numFmtId="3" fontId="1" fillId="0" borderId="0" xfId="0" applyNumberFormat="1" applyFont="1"/>
    <xf numFmtId="3" fontId="8" fillId="0" borderId="0" xfId="0" applyNumberFormat="1" applyFont="1"/>
    <xf numFmtId="3" fontId="9" fillId="0" borderId="0" xfId="0" applyNumberFormat="1" applyFont="1"/>
    <xf numFmtId="168" fontId="9" fillId="0" borderId="0" xfId="0" applyNumberFormat="1" applyFont="1"/>
    <xf numFmtId="0" fontId="17" fillId="0" borderId="0" xfId="0" applyFont="1"/>
    <xf numFmtId="0" fontId="15" fillId="0" borderId="0" xfId="0" applyFont="1"/>
    <xf numFmtId="2" fontId="15" fillId="0" borderId="0" xfId="0" applyNumberFormat="1" applyFont="1"/>
    <xf numFmtId="9" fontId="15" fillId="0" borderId="0" xfId="0" applyNumberFormat="1" applyFont="1"/>
    <xf numFmtId="3" fontId="15" fillId="0" borderId="0" xfId="0" applyNumberFormat="1" applyFont="1"/>
    <xf numFmtId="10" fontId="17" fillId="0" borderId="0" xfId="0" applyNumberFormat="1" applyFont="1"/>
    <xf numFmtId="9" fontId="8" fillId="0" borderId="0" xfId="0" applyNumberFormat="1" applyFont="1"/>
    <xf numFmtId="9" fontId="8" fillId="3" borderId="0" xfId="0" applyNumberFormat="1" applyFont="1" applyFill="1"/>
    <xf numFmtId="0" fontId="7" fillId="4" borderId="0" xfId="0" applyFont="1" applyFill="1"/>
    <xf numFmtId="0" fontId="1" fillId="0" borderId="0" xfId="0" applyFont="1" applyAlignment="1">
      <alignment wrapText="1"/>
    </xf>
    <xf numFmtId="3" fontId="9" fillId="3" borderId="0" xfId="0" applyNumberFormat="1" applyFont="1" applyFill="1"/>
    <xf numFmtId="0" fontId="15" fillId="0" borderId="0" xfId="0" applyFont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7332"/>
      <rgbColor rgb="FF8EAD4F"/>
      <rgbColor rgb="FF0000FF"/>
      <rgbColor rgb="FFB8CD97"/>
      <rgbColor rgb="FFC77978"/>
      <rgbColor rgb="FF7997C4"/>
      <rgbColor rgb="FFBB7235"/>
      <rgbColor rgb="FF008000"/>
      <rgbColor rgb="FFA99BBD"/>
      <rgbColor rgb="FF768F43"/>
      <rgbColor rgb="FFB24543"/>
      <rgbColor rgb="FF429BB2"/>
      <rgbColor rgb="FFC8C1D4"/>
      <rgbColor rgb="FF808080"/>
      <rgbColor rgb="FF93A9CE"/>
      <rgbColor rgb="FF953B38"/>
      <rgbColor rgb="FFFFF2CC"/>
      <rgbColor rgb="FFF2F2F2"/>
      <rgbColor rgb="FF8064A2"/>
      <rgbColor rgb="FFE5883B"/>
      <rgbColor rgb="FF3B6290"/>
      <rgbColor rgb="FFBDC8DE"/>
      <rgbColor rgb="FFA9C37E"/>
      <rgbColor rgb="FFD09493"/>
      <rgbColor rgb="FFF8B590"/>
      <rgbColor rgb="FFB0BED7"/>
      <rgbColor rgb="FFC0504D"/>
      <rgbColor rgb="FF9684AF"/>
      <rgbColor rgb="FF4F81BD"/>
      <rgbColor rgb="FFE0BDBC"/>
      <rgbColor rgb="FF89C0D3"/>
      <rgbColor rgb="FFD9D9D9"/>
      <rgbColor rgb="FFD1DEBE"/>
      <rgbColor rgb="FFC7D6B1"/>
      <rgbColor rgb="FFB0CFDC"/>
      <rgbColor rgb="FFD9B0B0"/>
      <rgbColor rgb="FFBDB4CB"/>
      <rgbColor rgb="FFF6C4AE"/>
      <rgbColor rgb="FF4573AB"/>
      <rgbColor rgb="FF4BACC6"/>
      <rgbColor rgb="FF9BBB59"/>
      <rgbColor rgb="FFF5A574"/>
      <rgbColor rgb="FFF79646"/>
      <rgbColor rgb="FFDC853E"/>
      <rgbColor rgb="FF735991"/>
      <rgbColor rgb="FF878787"/>
      <rgbColor rgb="FF1F4E78"/>
      <rgbColor rgb="FF388397"/>
      <rgbColor rgb="FF8AA64F"/>
      <rgbColor rgb="FF614C7C"/>
      <rgbColor rgb="FFAB4744"/>
      <rgbColor rgb="FF923C3A"/>
      <rgbColor rgb="FF30549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Выручка в первые 2 года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Модель!$C$5:$Z$5</c:f>
              <c:strCache>
                <c:ptCount val="24"/>
                <c:pt idx="0">
                  <c:v>Мес. 1</c:v>
                </c:pt>
                <c:pt idx="1">
                  <c:v>Мес. 2</c:v>
                </c:pt>
                <c:pt idx="2">
                  <c:v>Мес. 3</c:v>
                </c:pt>
                <c:pt idx="3">
                  <c:v>Мес. 4</c:v>
                </c:pt>
                <c:pt idx="4">
                  <c:v>Мес. 5</c:v>
                </c:pt>
                <c:pt idx="5">
                  <c:v>Мес. 6</c:v>
                </c:pt>
                <c:pt idx="6">
                  <c:v>Мес. 7</c:v>
                </c:pt>
                <c:pt idx="7">
                  <c:v>Мес. 8</c:v>
                </c:pt>
                <c:pt idx="8">
                  <c:v>Мес. 9</c:v>
                </c:pt>
                <c:pt idx="9">
                  <c:v>Мес. 10</c:v>
                </c:pt>
                <c:pt idx="10">
                  <c:v>Мес. 11</c:v>
                </c:pt>
                <c:pt idx="11">
                  <c:v>Мес. 12</c:v>
                </c:pt>
                <c:pt idx="12">
                  <c:v>Мес. 13</c:v>
                </c:pt>
                <c:pt idx="13">
                  <c:v>Мес. 14</c:v>
                </c:pt>
                <c:pt idx="14">
                  <c:v>Мес. 15</c:v>
                </c:pt>
                <c:pt idx="15">
                  <c:v>Мес. 16</c:v>
                </c:pt>
                <c:pt idx="16">
                  <c:v>Мес. 17</c:v>
                </c:pt>
                <c:pt idx="17">
                  <c:v>Мес. 18</c:v>
                </c:pt>
                <c:pt idx="18">
                  <c:v>Мес. 19</c:v>
                </c:pt>
                <c:pt idx="19">
                  <c:v>Мес. 20</c:v>
                </c:pt>
                <c:pt idx="20">
                  <c:v>Мес. 21</c:v>
                </c:pt>
                <c:pt idx="21">
                  <c:v>Мес. 22</c:v>
                </c:pt>
                <c:pt idx="22">
                  <c:v>Мес. 23</c:v>
                </c:pt>
                <c:pt idx="23">
                  <c:v>Мес. 24</c:v>
                </c:pt>
              </c:strCache>
            </c:strRef>
          </c:cat>
          <c:val>
            <c:numRef>
              <c:f>Модель!$C$10:$Z$10</c:f>
              <c:numCache>
                <c:formatCode>#,##0</c:formatCode>
                <c:ptCount val="24"/>
                <c:pt idx="0">
                  <c:v>0</c:v>
                </c:pt>
                <c:pt idx="1">
                  <c:v>3000000</c:v>
                </c:pt>
                <c:pt idx="2">
                  <c:v>3000000</c:v>
                </c:pt>
                <c:pt idx="3">
                  <c:v>6000000</c:v>
                </c:pt>
                <c:pt idx="4">
                  <c:v>6000000</c:v>
                </c:pt>
                <c:pt idx="5">
                  <c:v>9000000</c:v>
                </c:pt>
                <c:pt idx="6">
                  <c:v>9000000</c:v>
                </c:pt>
                <c:pt idx="7">
                  <c:v>12000000</c:v>
                </c:pt>
                <c:pt idx="8">
                  <c:v>12000000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18000000</c:v>
                </c:pt>
                <c:pt idx="12">
                  <c:v>18000000</c:v>
                </c:pt>
                <c:pt idx="13">
                  <c:v>18000000</c:v>
                </c:pt>
                <c:pt idx="14">
                  <c:v>18000000</c:v>
                </c:pt>
                <c:pt idx="15">
                  <c:v>18000000</c:v>
                </c:pt>
                <c:pt idx="16">
                  <c:v>18000000</c:v>
                </c:pt>
                <c:pt idx="17">
                  <c:v>18000000</c:v>
                </c:pt>
                <c:pt idx="18">
                  <c:v>18000000</c:v>
                </c:pt>
                <c:pt idx="19">
                  <c:v>18000000</c:v>
                </c:pt>
                <c:pt idx="20">
                  <c:v>18000000</c:v>
                </c:pt>
                <c:pt idx="21">
                  <c:v>18000000</c:v>
                </c:pt>
                <c:pt idx="22">
                  <c:v>18000000</c:v>
                </c:pt>
                <c:pt idx="23">
                  <c:v>18000000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A6-46F1-98FF-04142BC76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501935"/>
        <c:axId val="38499535"/>
      </c:lineChart>
      <c:catAx>
        <c:axId val="3850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499535"/>
        <c:crosses val="autoZero"/>
        <c:auto val="1"/>
        <c:lblAlgn val="ctr"/>
        <c:lblOffset val="100"/>
        <c:noMultiLvlLbl val="0"/>
      </c:catAx>
      <c:valAx>
        <c:axId val="384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0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Накопленный денежный поток</c:v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9B-4516-A6B6-56ECEF36C148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9B-4516-A6B6-56ECEF36C148}"/>
              </c:ext>
            </c:extLst>
          </c:dPt>
          <c:cat>
            <c:strRef>
              <c:f>Модель!$B$5:$AC$5</c:f>
              <c:strCache>
                <c:ptCount val="28"/>
                <c:pt idx="0">
                  <c:v>Мес. 0</c:v>
                </c:pt>
                <c:pt idx="1">
                  <c:v>Мес. 1</c:v>
                </c:pt>
                <c:pt idx="2">
                  <c:v>Мес. 2</c:v>
                </c:pt>
                <c:pt idx="3">
                  <c:v>Мес. 3</c:v>
                </c:pt>
                <c:pt idx="4">
                  <c:v>Мес. 4</c:v>
                </c:pt>
                <c:pt idx="5">
                  <c:v>Мес. 5</c:v>
                </c:pt>
                <c:pt idx="6">
                  <c:v>Мес. 6</c:v>
                </c:pt>
                <c:pt idx="7">
                  <c:v>Мес. 7</c:v>
                </c:pt>
                <c:pt idx="8">
                  <c:v>Мес. 8</c:v>
                </c:pt>
                <c:pt idx="9">
                  <c:v>Мес. 9</c:v>
                </c:pt>
                <c:pt idx="10">
                  <c:v>Мес. 10</c:v>
                </c:pt>
                <c:pt idx="11">
                  <c:v>Мес. 11</c:v>
                </c:pt>
                <c:pt idx="12">
                  <c:v>Мес. 12</c:v>
                </c:pt>
                <c:pt idx="13">
                  <c:v>Мес. 13</c:v>
                </c:pt>
                <c:pt idx="14">
                  <c:v>Мес. 14</c:v>
                </c:pt>
                <c:pt idx="15">
                  <c:v>Мес. 15</c:v>
                </c:pt>
                <c:pt idx="16">
                  <c:v>Мес. 16</c:v>
                </c:pt>
                <c:pt idx="17">
                  <c:v>Мес. 17</c:v>
                </c:pt>
                <c:pt idx="18">
                  <c:v>Мес. 18</c:v>
                </c:pt>
                <c:pt idx="19">
                  <c:v>Мес. 19</c:v>
                </c:pt>
                <c:pt idx="20">
                  <c:v>Мес. 20</c:v>
                </c:pt>
                <c:pt idx="21">
                  <c:v>Мес. 21</c:v>
                </c:pt>
                <c:pt idx="22">
                  <c:v>Мес. 22</c:v>
                </c:pt>
                <c:pt idx="23">
                  <c:v>Мес. 23</c:v>
                </c:pt>
                <c:pt idx="24">
                  <c:v>Мес. 24</c:v>
                </c:pt>
                <c:pt idx="25">
                  <c:v>Год 3</c:v>
                </c:pt>
                <c:pt idx="26">
                  <c:v>Год 4</c:v>
                </c:pt>
                <c:pt idx="27">
                  <c:v>Год 5</c:v>
                </c:pt>
              </c:strCache>
            </c:strRef>
          </c:cat>
          <c:val>
            <c:numRef>
              <c:f>Модель!$B$30:$AC$30</c:f>
              <c:numCache>
                <c:formatCode>#,##0</c:formatCode>
                <c:ptCount val="28"/>
                <c:pt idx="0">
                  <c:v>-40000000</c:v>
                </c:pt>
                <c:pt idx="1">
                  <c:v>-44000000</c:v>
                </c:pt>
                <c:pt idx="2">
                  <c:v>-51400000</c:v>
                </c:pt>
                <c:pt idx="3">
                  <c:v>-54300000</c:v>
                </c:pt>
                <c:pt idx="4">
                  <c:v>-60600000</c:v>
                </c:pt>
                <c:pt idx="5">
                  <c:v>-62400000</c:v>
                </c:pt>
                <c:pt idx="6">
                  <c:v>-67600000</c:v>
                </c:pt>
                <c:pt idx="7">
                  <c:v>-68300000</c:v>
                </c:pt>
                <c:pt idx="8">
                  <c:v>-72400000</c:v>
                </c:pt>
                <c:pt idx="9">
                  <c:v>-72000000</c:v>
                </c:pt>
                <c:pt idx="10">
                  <c:v>-75204761.90476191</c:v>
                </c:pt>
                <c:pt idx="11">
                  <c:v>-73909523.809523821</c:v>
                </c:pt>
                <c:pt idx="12">
                  <c:v>-76234285.714285731</c:v>
                </c:pt>
                <c:pt idx="13">
                  <c:v>-74059047.619047642</c:v>
                </c:pt>
                <c:pt idx="14">
                  <c:v>-71883809.523809552</c:v>
                </c:pt>
                <c:pt idx="15">
                  <c:v>-69708571.428571463</c:v>
                </c:pt>
                <c:pt idx="16">
                  <c:v>-67533333.333333373</c:v>
                </c:pt>
                <c:pt idx="17">
                  <c:v>-65358095.238095276</c:v>
                </c:pt>
                <c:pt idx="18">
                  <c:v>-63182857.142857179</c:v>
                </c:pt>
                <c:pt idx="19">
                  <c:v>-61007619.047619082</c:v>
                </c:pt>
                <c:pt idx="20">
                  <c:v>-58832380.952380985</c:v>
                </c:pt>
                <c:pt idx="21">
                  <c:v>-56657142.857142888</c:v>
                </c:pt>
                <c:pt idx="22">
                  <c:v>-54481904.761904791</c:v>
                </c:pt>
                <c:pt idx="23">
                  <c:v>-52306666.666666694</c:v>
                </c:pt>
                <c:pt idx="24">
                  <c:v>-50131428.571428597</c:v>
                </c:pt>
                <c:pt idx="25">
                  <c:v>-39491428.571428597</c:v>
                </c:pt>
                <c:pt idx="26">
                  <c:v>19148571.428571403</c:v>
                </c:pt>
                <c:pt idx="27">
                  <c:v>89938571.428571403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B-4516-A6B6-56ECEF36C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-11"/>
        <c:axId val="1478167135"/>
        <c:axId val="1478167615"/>
      </c:barChart>
      <c:catAx>
        <c:axId val="147816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8167615"/>
        <c:crosses val="autoZero"/>
        <c:auto val="1"/>
        <c:lblAlgn val="ctr"/>
        <c:lblOffset val="100"/>
        <c:noMultiLvlLbl val="0"/>
      </c:catAx>
      <c:valAx>
        <c:axId val="147816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816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16</xdr:row>
      <xdr:rowOff>140970</xdr:rowOff>
    </xdr:from>
    <xdr:to>
      <xdr:col>1</xdr:col>
      <xdr:colOff>5471160</xdr:colOff>
      <xdr:row>31</xdr:row>
      <xdr:rowOff>140970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13EA4E5-898B-D19B-413F-E43FF0622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5760720</xdr:colOff>
      <xdr:row>16</xdr:row>
      <xdr:rowOff>163830</xdr:rowOff>
    </xdr:from>
    <xdr:to>
      <xdr:col>8</xdr:col>
      <xdr:colOff>571500</xdr:colOff>
      <xdr:row>31</xdr:row>
      <xdr:rowOff>163830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F05E92D-4C8A-11BC-6FB7-9358E65C08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9"/>
  <sheetViews>
    <sheetView showGridLines="0" zoomScaleNormal="100" workbookViewId="0">
      <selection activeCell="B2" sqref="B2:B19"/>
    </sheetView>
  </sheetViews>
  <sheetFormatPr defaultColWidth="8.6640625" defaultRowHeight="14.4" x14ac:dyDescent="0.3"/>
  <cols>
    <col min="1" max="1" width="3" style="2" customWidth="1"/>
    <col min="2" max="2" width="95" style="2" customWidth="1"/>
    <col min="3" max="16384" width="8.6640625" style="2"/>
  </cols>
  <sheetData>
    <row r="2" spans="2:2" ht="17.25" customHeight="1" x14ac:dyDescent="0.35">
      <c r="B2" s="1" t="s">
        <v>0</v>
      </c>
    </row>
    <row r="3" spans="2:2" ht="15" customHeight="1" x14ac:dyDescent="0.3">
      <c r="B3" s="3" t="s">
        <v>1</v>
      </c>
    </row>
    <row r="5" spans="2:2" ht="15" customHeight="1" x14ac:dyDescent="0.3">
      <c r="B5" s="4" t="s">
        <v>2</v>
      </c>
    </row>
    <row r="6" spans="2:2" ht="28.8" x14ac:dyDescent="0.3">
      <c r="B6" s="5" t="s">
        <v>187</v>
      </c>
    </row>
    <row r="8" spans="2:2" ht="15" customHeight="1" x14ac:dyDescent="0.3">
      <c r="B8" s="4" t="s">
        <v>186</v>
      </c>
    </row>
    <row r="9" spans="2:2" ht="15" customHeight="1" x14ac:dyDescent="0.3">
      <c r="B9" s="5" t="s">
        <v>3</v>
      </c>
    </row>
    <row r="10" spans="2:2" ht="15" customHeight="1" x14ac:dyDescent="0.3">
      <c r="B10" s="5" t="s">
        <v>4</v>
      </c>
    </row>
    <row r="11" spans="2:2" ht="15" customHeight="1" x14ac:dyDescent="0.3">
      <c r="B11" s="5" t="s">
        <v>185</v>
      </c>
    </row>
    <row r="12" spans="2:2" ht="15" customHeight="1" x14ac:dyDescent="0.3">
      <c r="B12" s="5" t="s">
        <v>5</v>
      </c>
    </row>
    <row r="13" spans="2:2" ht="15" customHeight="1" x14ac:dyDescent="0.3">
      <c r="B13" s="5" t="s">
        <v>6</v>
      </c>
    </row>
    <row r="15" spans="2:2" ht="15" customHeight="1" x14ac:dyDescent="0.3">
      <c r="B15" s="4" t="s">
        <v>7</v>
      </c>
    </row>
    <row r="16" spans="2:2" ht="15" customHeight="1" x14ac:dyDescent="0.3">
      <c r="B16" s="6" t="s">
        <v>8</v>
      </c>
    </row>
    <row r="17" spans="2:2" ht="15" customHeight="1" x14ac:dyDescent="0.3">
      <c r="B17" s="7" t="s">
        <v>9</v>
      </c>
    </row>
    <row r="18" spans="2:2" ht="15" customHeight="1" x14ac:dyDescent="0.3">
      <c r="B18" s="8" t="s">
        <v>10</v>
      </c>
    </row>
    <row r="19" spans="2:2" ht="15" customHeight="1" x14ac:dyDescent="0.3">
      <c r="B19" s="9" t="s">
        <v>11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16"/>
  <sheetViews>
    <sheetView showGridLines="0" zoomScaleNormal="100" workbookViewId="0"/>
  </sheetViews>
  <sheetFormatPr defaultColWidth="8.6640625" defaultRowHeight="14.4" x14ac:dyDescent="0.3"/>
  <cols>
    <col min="1" max="1" width="3" style="2" customWidth="1"/>
    <col min="2" max="2" width="84.6640625" style="2" customWidth="1"/>
    <col min="3" max="3" width="21" style="2" customWidth="1"/>
    <col min="4" max="4" width="6.44140625" style="2" customWidth="1"/>
    <col min="5" max="5" width="26" style="2" customWidth="1"/>
    <col min="6" max="16384" width="8.6640625" style="2"/>
  </cols>
  <sheetData>
    <row r="2" spans="2:5" ht="19.5" customHeight="1" x14ac:dyDescent="0.4">
      <c r="B2" s="10" t="s">
        <v>12</v>
      </c>
    </row>
    <row r="4" spans="2:5" ht="15" customHeight="1" x14ac:dyDescent="0.3">
      <c r="B4" s="4" t="s">
        <v>13</v>
      </c>
      <c r="C4" s="11"/>
      <c r="D4" s="11"/>
      <c r="E4" s="11"/>
    </row>
    <row r="6" spans="2:5" ht="15" customHeight="1" x14ac:dyDescent="0.3">
      <c r="B6" s="2" t="s">
        <v>14</v>
      </c>
      <c r="C6" s="12">
        <f>Модель!AC31</f>
        <v>8881137.893124003</v>
      </c>
    </row>
    <row r="7" spans="2:5" ht="14.25" customHeight="1" x14ac:dyDescent="0.3">
      <c r="B7" s="5" t="s">
        <v>15</v>
      </c>
      <c r="C7" s="12">
        <f>Модель!AC27/(1+Допущения!C7)^6+Модель!AC27/(1+Допущения!C7)^7</f>
        <v>43463617.576874718</v>
      </c>
    </row>
    <row r="8" spans="2:5" ht="24" customHeight="1" x14ac:dyDescent="0.5">
      <c r="B8" s="13" t="s">
        <v>16</v>
      </c>
      <c r="C8" s="14">
        <f>C6+C7</f>
        <v>52344755.469998717</v>
      </c>
    </row>
    <row r="10" spans="2:5" ht="24" customHeight="1" x14ac:dyDescent="0.5">
      <c r="B10" s="15" t="s">
        <v>17</v>
      </c>
      <c r="C10" s="16">
        <f>Модель!$B$40</f>
        <v>0.23991897630448428</v>
      </c>
    </row>
    <row r="11" spans="2:5" ht="15" customHeight="1" x14ac:dyDescent="0.3">
      <c r="B11" s="2" t="s">
        <v>18</v>
      </c>
      <c r="C11" s="17">
        <f>Допущения!C7</f>
        <v>0.2</v>
      </c>
    </row>
    <row r="13" spans="2:5" x14ac:dyDescent="0.3">
      <c r="B13" s="5" t="s">
        <v>19</v>
      </c>
      <c r="C13" s="18">
        <f>(INDEX(Модель!B6:AC6,SUMPRODUCT(--(Модель!B30:AC30&lt;0))+1-1)+(0-INDEX(Модель!B30:AC30,SUMPRODUCT(--(Модель!B30:AC30&lt;0))+1-1))/(INDEX(Модель!B30:AC30,SUMPRODUCT(--(Модель!B30:AC30&lt;0))+1)-INDEX(Модель!B30:AC30,SUMPRODUCT(--(Модель!B30:AC30&lt;0))+1-1))*(INDEX(Модель!B6:AC6,SUMPRODUCT(--(Модель!B30:AC30&lt;0))+1)-INDEX(Модель!B6:AC6,SUMPRODUCT(--(Модель!B30:AC30&lt;0))+1-1))-Модель!B6)/365.25</f>
        <v>3.6736789743224496</v>
      </c>
      <c r="D13" s="19" t="s">
        <v>20</v>
      </c>
    </row>
    <row r="14" spans="2:5" ht="24" x14ac:dyDescent="0.3">
      <c r="B14" s="20" t="s">
        <v>21</v>
      </c>
    </row>
    <row r="16" spans="2:5" ht="15" customHeight="1" x14ac:dyDescent="0.3">
      <c r="B16" s="4" t="s">
        <v>22</v>
      </c>
      <c r="C16" s="11"/>
      <c r="D16" s="11"/>
      <c r="E16" s="11"/>
    </row>
  </sheetData>
  <pageMargins left="0.75" right="0.75" top="1" bottom="1" header="0.511811023622047" footer="0.511811023622047"/>
  <pageSetup paperSize="9" fitToHeight="0" orientation="landscape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E42"/>
  <sheetViews>
    <sheetView showGridLines="0" tabSelected="1" zoomScaleNormal="100" workbookViewId="0">
      <selection activeCell="B1" sqref="B1"/>
    </sheetView>
  </sheetViews>
  <sheetFormatPr defaultColWidth="8.6640625" defaultRowHeight="14.4" x14ac:dyDescent="0.3"/>
  <cols>
    <col min="1" max="1" width="2" style="22" customWidth="1"/>
    <col min="2" max="2" width="41.6640625" style="5" customWidth="1"/>
    <col min="3" max="3" width="16" style="22" customWidth="1"/>
    <col min="4" max="4" width="12" style="22" customWidth="1"/>
    <col min="5" max="5" width="125.5546875" style="22" customWidth="1"/>
    <col min="6" max="16384" width="8.6640625" style="22"/>
  </cols>
  <sheetData>
    <row r="1" spans="2:5" ht="17.25" customHeight="1" x14ac:dyDescent="0.3">
      <c r="B1" s="21" t="s">
        <v>23</v>
      </c>
    </row>
    <row r="3" spans="2:5" x14ac:dyDescent="0.3">
      <c r="B3" s="23" t="s">
        <v>24</v>
      </c>
      <c r="C3" s="24" t="s">
        <v>25</v>
      </c>
      <c r="D3" s="24" t="s">
        <v>26</v>
      </c>
      <c r="E3" s="24" t="s">
        <v>27</v>
      </c>
    </row>
    <row r="4" spans="2:5" x14ac:dyDescent="0.3">
      <c r="B4" s="25" t="s">
        <v>28</v>
      </c>
      <c r="C4" s="26"/>
      <c r="D4" s="26"/>
      <c r="E4" s="26"/>
    </row>
    <row r="5" spans="2:5" x14ac:dyDescent="0.3">
      <c r="B5" s="5" t="s">
        <v>29</v>
      </c>
      <c r="C5" s="27">
        <v>0.14000000000000001</v>
      </c>
      <c r="D5" s="22" t="s">
        <v>30</v>
      </c>
      <c r="E5" s="5" t="s">
        <v>31</v>
      </c>
    </row>
    <row r="6" spans="2:5" ht="28.8" x14ac:dyDescent="0.3">
      <c r="B6" s="5" t="s">
        <v>32</v>
      </c>
      <c r="C6" s="27">
        <v>0.06</v>
      </c>
      <c r="D6" s="22" t="s">
        <v>30</v>
      </c>
      <c r="E6" s="5" t="s">
        <v>33</v>
      </c>
    </row>
    <row r="7" spans="2:5" x14ac:dyDescent="0.3">
      <c r="B7" s="5" t="s">
        <v>34</v>
      </c>
      <c r="C7" s="28">
        <f>C5+C6</f>
        <v>0.2</v>
      </c>
      <c r="D7" s="22" t="s">
        <v>30</v>
      </c>
      <c r="E7" s="5" t="s">
        <v>35</v>
      </c>
    </row>
    <row r="8" spans="2:5" x14ac:dyDescent="0.3">
      <c r="B8" s="5" t="s">
        <v>36</v>
      </c>
      <c r="C8" s="29">
        <f>(1+C7)^(1/12)-1</f>
        <v>1.5309470499731193E-2</v>
      </c>
      <c r="D8" s="22" t="s">
        <v>30</v>
      </c>
      <c r="E8" s="5" t="s">
        <v>37</v>
      </c>
    </row>
    <row r="10" spans="2:5" x14ac:dyDescent="0.3">
      <c r="B10" s="25" t="s">
        <v>38</v>
      </c>
      <c r="C10" s="26"/>
      <c r="D10" s="26"/>
      <c r="E10" s="26"/>
    </row>
    <row r="11" spans="2:5" ht="28.8" x14ac:dyDescent="0.3">
      <c r="B11" s="5" t="s">
        <v>39</v>
      </c>
      <c r="C11" s="30">
        <v>3000000</v>
      </c>
      <c r="D11" s="22" t="s">
        <v>40</v>
      </c>
      <c r="E11" s="5" t="s">
        <v>41</v>
      </c>
    </row>
    <row r="12" spans="2:5" ht="28.8" x14ac:dyDescent="0.3">
      <c r="B12" s="5" t="s">
        <v>42</v>
      </c>
      <c r="C12" s="31">
        <v>0.05</v>
      </c>
      <c r="D12" s="22" t="s">
        <v>43</v>
      </c>
      <c r="E12" s="5" t="s">
        <v>44</v>
      </c>
    </row>
    <row r="13" spans="2:5" ht="28.8" x14ac:dyDescent="0.3">
      <c r="B13" s="5" t="s">
        <v>45</v>
      </c>
      <c r="C13" s="28">
        <f>C12</f>
        <v>0.05</v>
      </c>
      <c r="D13" s="22" t="s">
        <v>30</v>
      </c>
      <c r="E13" s="5" t="s">
        <v>46</v>
      </c>
    </row>
    <row r="15" spans="2:5" x14ac:dyDescent="0.3">
      <c r="B15" s="25" t="s">
        <v>47</v>
      </c>
      <c r="C15" s="26"/>
      <c r="D15" s="26"/>
      <c r="E15" s="26"/>
    </row>
    <row r="16" spans="2:5" x14ac:dyDescent="0.3">
      <c r="B16" s="5" t="s">
        <v>48</v>
      </c>
      <c r="C16" s="30">
        <v>40000000</v>
      </c>
      <c r="D16" s="22" t="s">
        <v>49</v>
      </c>
      <c r="E16" s="5" t="s">
        <v>50</v>
      </c>
    </row>
    <row r="17" spans="2:5" x14ac:dyDescent="0.3">
      <c r="B17" s="5" t="s">
        <v>51</v>
      </c>
      <c r="C17" s="32">
        <v>6</v>
      </c>
      <c r="D17" s="22" t="s">
        <v>52</v>
      </c>
      <c r="E17" s="5" t="s">
        <v>53</v>
      </c>
    </row>
    <row r="18" spans="2:5" x14ac:dyDescent="0.3">
      <c r="B18" s="5" t="s">
        <v>54</v>
      </c>
      <c r="C18" s="30">
        <v>30000000</v>
      </c>
      <c r="D18" s="22" t="s">
        <v>49</v>
      </c>
      <c r="E18" s="5" t="s">
        <v>55</v>
      </c>
    </row>
    <row r="19" spans="2:5" x14ac:dyDescent="0.3">
      <c r="B19" s="5" t="s">
        <v>56</v>
      </c>
      <c r="C19" s="32">
        <v>10</v>
      </c>
      <c r="D19" s="22" t="s">
        <v>52</v>
      </c>
      <c r="E19" s="5"/>
    </row>
    <row r="20" spans="2:5" ht="28.8" x14ac:dyDescent="0.3">
      <c r="B20" s="5" t="s">
        <v>57</v>
      </c>
      <c r="C20" s="32">
        <v>7</v>
      </c>
      <c r="D20" s="22" t="s">
        <v>20</v>
      </c>
      <c r="E20" s="5" t="s">
        <v>58</v>
      </c>
    </row>
    <row r="22" spans="2:5" x14ac:dyDescent="0.3">
      <c r="B22" s="25" t="s">
        <v>59</v>
      </c>
      <c r="C22" s="26"/>
      <c r="D22" s="26"/>
      <c r="E22" s="26"/>
    </row>
    <row r="23" spans="2:5" ht="28.8" x14ac:dyDescent="0.3">
      <c r="B23" s="5" t="s">
        <v>60</v>
      </c>
      <c r="C23" s="32">
        <v>1900000</v>
      </c>
      <c r="D23" s="22" t="s">
        <v>40</v>
      </c>
      <c r="E23" s="5" t="s">
        <v>61</v>
      </c>
    </row>
    <row r="24" spans="2:5" ht="28.8" x14ac:dyDescent="0.3">
      <c r="B24" s="5" t="s">
        <v>62</v>
      </c>
      <c r="C24" s="32">
        <v>3000000</v>
      </c>
      <c r="D24" s="22" t="s">
        <v>63</v>
      </c>
      <c r="E24" s="5" t="s">
        <v>64</v>
      </c>
    </row>
    <row r="25" spans="2:5" x14ac:dyDescent="0.3">
      <c r="B25" s="5" t="s">
        <v>65</v>
      </c>
      <c r="C25" s="32">
        <v>3800000</v>
      </c>
      <c r="D25" s="22" t="s">
        <v>63</v>
      </c>
      <c r="E25" s="5" t="s">
        <v>66</v>
      </c>
    </row>
    <row r="26" spans="2:5" x14ac:dyDescent="0.3">
      <c r="B26" s="5" t="s">
        <v>67</v>
      </c>
      <c r="C26" s="32">
        <v>1000000</v>
      </c>
      <c r="D26" s="22" t="s">
        <v>63</v>
      </c>
      <c r="E26" s="5" t="s">
        <v>68</v>
      </c>
    </row>
    <row r="27" spans="2:5" x14ac:dyDescent="0.3">
      <c r="B27" s="5" t="s">
        <v>69</v>
      </c>
      <c r="C27" s="32">
        <v>1300000</v>
      </c>
      <c r="D27" s="22" t="s">
        <v>63</v>
      </c>
      <c r="E27" s="5" t="s">
        <v>70</v>
      </c>
    </row>
    <row r="29" spans="2:5" x14ac:dyDescent="0.3">
      <c r="B29" s="25" t="s">
        <v>71</v>
      </c>
      <c r="C29" s="26"/>
      <c r="D29" s="26"/>
      <c r="E29" s="26"/>
    </row>
    <row r="30" spans="2:5" ht="28.8" x14ac:dyDescent="0.3">
      <c r="B30" s="5" t="s">
        <v>72</v>
      </c>
      <c r="C30" s="32">
        <v>5</v>
      </c>
      <c r="D30" s="22" t="s">
        <v>73</v>
      </c>
      <c r="E30" s="5" t="s">
        <v>74</v>
      </c>
    </row>
    <row r="31" spans="2:5" x14ac:dyDescent="0.3">
      <c r="B31" s="5" t="s">
        <v>75</v>
      </c>
      <c r="C31" s="32">
        <v>30</v>
      </c>
      <c r="D31" s="22" t="s">
        <v>76</v>
      </c>
      <c r="E31" s="5"/>
    </row>
    <row r="32" spans="2:5" x14ac:dyDescent="0.3">
      <c r="B32" s="5" t="s">
        <v>77</v>
      </c>
      <c r="C32" s="32">
        <v>45</v>
      </c>
      <c r="D32" s="22" t="s">
        <v>76</v>
      </c>
      <c r="E32" s="5" t="s">
        <v>78</v>
      </c>
    </row>
    <row r="33" spans="2:5" ht="28.8" x14ac:dyDescent="0.3">
      <c r="B33" s="5" t="s">
        <v>79</v>
      </c>
      <c r="C33" s="32">
        <v>45</v>
      </c>
      <c r="D33" s="22" t="s">
        <v>76</v>
      </c>
      <c r="E33" s="5" t="s">
        <v>80</v>
      </c>
    </row>
    <row r="34" spans="2:5" x14ac:dyDescent="0.3">
      <c r="B34" s="5" t="s">
        <v>81</v>
      </c>
      <c r="C34" s="32">
        <v>45</v>
      </c>
      <c r="D34" s="22" t="s">
        <v>76</v>
      </c>
      <c r="E34" s="5" t="s">
        <v>82</v>
      </c>
    </row>
    <row r="36" spans="2:5" x14ac:dyDescent="0.3">
      <c r="B36" s="25" t="s">
        <v>83</v>
      </c>
      <c r="C36" s="26"/>
      <c r="D36" s="26"/>
      <c r="E36" s="26"/>
    </row>
    <row r="37" spans="2:5" x14ac:dyDescent="0.3">
      <c r="B37" s="5" t="s">
        <v>84</v>
      </c>
      <c r="C37" s="31">
        <v>0.2</v>
      </c>
      <c r="D37" s="22" t="s">
        <v>30</v>
      </c>
      <c r="E37" s="5" t="s">
        <v>85</v>
      </c>
    </row>
    <row r="39" spans="2:5" ht="28.8" x14ac:dyDescent="0.3">
      <c r="B39" s="25" t="s">
        <v>86</v>
      </c>
      <c r="C39" s="26"/>
      <c r="D39" s="26"/>
      <c r="E39" s="26"/>
    </row>
    <row r="40" spans="2:5" x14ac:dyDescent="0.3">
      <c r="B40" s="5" t="s">
        <v>87</v>
      </c>
      <c r="C40" s="33" t="s">
        <v>88</v>
      </c>
      <c r="E40" s="5" t="s">
        <v>89</v>
      </c>
    </row>
    <row r="42" spans="2:5" x14ac:dyDescent="0.3">
      <c r="B42" s="2" t="s">
        <v>90</v>
      </c>
      <c r="C42" s="6">
        <v>360</v>
      </c>
      <c r="D42" s="2" t="s">
        <v>76</v>
      </c>
      <c r="E42" s="5" t="s">
        <v>188</v>
      </c>
    </row>
  </sheetData>
  <dataValidations count="1">
    <dataValidation type="list" sqref="C40" xr:uid="{00000000-0002-0000-0200-000000000000}">
      <formula1>"Пессимистичный,База,Оптимистичный"</formula1>
      <formula2>0</formula2>
    </dataValidation>
  </dataValidations>
  <pageMargins left="0.75" right="0.75" top="1" bottom="1" header="0.511811023622047" footer="0.511811023622047"/>
  <pageSetup paperSize="9" scale="43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0"/>
  <sheetViews>
    <sheetView showGridLines="0" zoomScale="80" zoomScaleNormal="8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C9" sqref="C9"/>
    </sheetView>
  </sheetViews>
  <sheetFormatPr defaultColWidth="8.6640625" defaultRowHeight="14.4" x14ac:dyDescent="0.3"/>
  <cols>
    <col min="1" max="1" width="40" style="2" customWidth="1"/>
    <col min="2" max="2" width="15.5546875" style="2" customWidth="1"/>
    <col min="3" max="26" width="11.44140625" style="2" customWidth="1"/>
    <col min="27" max="29" width="12.5546875" style="2" customWidth="1"/>
    <col min="30" max="16384" width="8.6640625" style="2"/>
  </cols>
  <sheetData>
    <row r="1" spans="1:29" ht="17.25" customHeight="1" x14ac:dyDescent="0.35">
      <c r="A1" s="1" t="s">
        <v>91</v>
      </c>
    </row>
    <row r="4" spans="1:29" ht="15" customHeight="1" x14ac:dyDescent="0.3"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15" customHeight="1" x14ac:dyDescent="0.3">
      <c r="A5" s="2" t="s">
        <v>92</v>
      </c>
      <c r="B5" s="35" t="s">
        <v>93</v>
      </c>
      <c r="C5" s="35" t="s">
        <v>94</v>
      </c>
      <c r="D5" s="35" t="s">
        <v>95</v>
      </c>
      <c r="E5" s="35" t="s">
        <v>96</v>
      </c>
      <c r="F5" s="35" t="s">
        <v>97</v>
      </c>
      <c r="G5" s="35" t="s">
        <v>98</v>
      </c>
      <c r="H5" s="35" t="s">
        <v>99</v>
      </c>
      <c r="I5" s="35" t="s">
        <v>100</v>
      </c>
      <c r="J5" s="35" t="s">
        <v>101</v>
      </c>
      <c r="K5" s="35" t="s">
        <v>102</v>
      </c>
      <c r="L5" s="35" t="s">
        <v>103</v>
      </c>
      <c r="M5" s="35" t="s">
        <v>104</v>
      </c>
      <c r="N5" s="35" t="s">
        <v>105</v>
      </c>
      <c r="O5" s="35" t="s">
        <v>106</v>
      </c>
      <c r="P5" s="35" t="s">
        <v>107</v>
      </c>
      <c r="Q5" s="35" t="s">
        <v>108</v>
      </c>
      <c r="R5" s="35" t="s">
        <v>109</v>
      </c>
      <c r="S5" s="35" t="s">
        <v>110</v>
      </c>
      <c r="T5" s="35" t="s">
        <v>111</v>
      </c>
      <c r="U5" s="35" t="s">
        <v>112</v>
      </c>
      <c r="V5" s="35" t="s">
        <v>113</v>
      </c>
      <c r="W5" s="35" t="s">
        <v>114</v>
      </c>
      <c r="X5" s="35" t="s">
        <v>115</v>
      </c>
      <c r="Y5" s="35" t="s">
        <v>116</v>
      </c>
      <c r="Z5" s="35" t="s">
        <v>117</v>
      </c>
      <c r="AA5" s="35" t="s">
        <v>118</v>
      </c>
      <c r="AB5" s="35" t="s">
        <v>119</v>
      </c>
      <c r="AC5" s="35" t="s">
        <v>120</v>
      </c>
    </row>
    <row r="6" spans="1:29" ht="15" customHeight="1" x14ac:dyDescent="0.3">
      <c r="A6" s="2" t="s">
        <v>121</v>
      </c>
      <c r="B6" s="36">
        <f>DATE(2026,9,1)</f>
        <v>46266</v>
      </c>
      <c r="C6" s="37">
        <f>EDATE($B$6,1)</f>
        <v>46296</v>
      </c>
      <c r="D6" s="37">
        <f>EDATE($B$6,2)</f>
        <v>46327</v>
      </c>
      <c r="E6" s="37">
        <f>EDATE($B$6,3)</f>
        <v>46357</v>
      </c>
      <c r="F6" s="37">
        <f>EDATE($B$6,4)</f>
        <v>46388</v>
      </c>
      <c r="G6" s="37">
        <f>EDATE($B$6,5)</f>
        <v>46419</v>
      </c>
      <c r="H6" s="37">
        <f>EDATE($B$6,6)</f>
        <v>46447</v>
      </c>
      <c r="I6" s="37">
        <f>EDATE($B$6,7)</f>
        <v>46478</v>
      </c>
      <c r="J6" s="37">
        <f>EDATE($B$6,8)</f>
        <v>46508</v>
      </c>
      <c r="K6" s="37">
        <f>EDATE($B$6,9)</f>
        <v>46539</v>
      </c>
      <c r="L6" s="37">
        <f>EDATE($B$6,10)</f>
        <v>46569</v>
      </c>
      <c r="M6" s="37">
        <f>EDATE($B$6,11)</f>
        <v>46600</v>
      </c>
      <c r="N6" s="37">
        <f>EDATE($B$6,12)</f>
        <v>46631</v>
      </c>
      <c r="O6" s="37">
        <f>EDATE($B$6,13)</f>
        <v>46661</v>
      </c>
      <c r="P6" s="37">
        <f>EDATE($B$6,14)</f>
        <v>46692</v>
      </c>
      <c r="Q6" s="37">
        <f>EDATE($B$6,15)</f>
        <v>46722</v>
      </c>
      <c r="R6" s="37">
        <f>EDATE($B$6,16)</f>
        <v>46753</v>
      </c>
      <c r="S6" s="37">
        <f>EDATE($B$6,17)</f>
        <v>46784</v>
      </c>
      <c r="T6" s="37">
        <f>EDATE($B$6,18)</f>
        <v>46813</v>
      </c>
      <c r="U6" s="37">
        <f>EDATE($B$6,19)</f>
        <v>46844</v>
      </c>
      <c r="V6" s="37">
        <f>EDATE($B$6,20)</f>
        <v>46874</v>
      </c>
      <c r="W6" s="37">
        <f>EDATE($B$6,21)</f>
        <v>46905</v>
      </c>
      <c r="X6" s="37">
        <f>EDATE($B$6,22)</f>
        <v>46935</v>
      </c>
      <c r="Y6" s="37">
        <f>EDATE($B$6,23)</f>
        <v>46966</v>
      </c>
      <c r="Z6" s="37">
        <f>EDATE($B$6,24)</f>
        <v>46997</v>
      </c>
      <c r="AA6" s="37">
        <f>EDATE($B$6,36)</f>
        <v>47362</v>
      </c>
      <c r="AB6" s="37">
        <f>EDATE($B$6,48)</f>
        <v>47727</v>
      </c>
      <c r="AC6" s="37">
        <f>EDATE($B$6,60)</f>
        <v>48092</v>
      </c>
    </row>
    <row r="7" spans="1:29" ht="15" customHeight="1" x14ac:dyDescent="0.3">
      <c r="A7" s="2" t="s">
        <v>122</v>
      </c>
      <c r="B7" s="38">
        <v>0</v>
      </c>
      <c r="C7" s="12">
        <f>Допущения!C17</f>
        <v>6</v>
      </c>
      <c r="D7" s="12">
        <f>Допущения!C17</f>
        <v>6</v>
      </c>
      <c r="E7" s="12">
        <f>Допущения!C17</f>
        <v>6</v>
      </c>
      <c r="F7" s="12">
        <f>Допущения!C17</f>
        <v>6</v>
      </c>
      <c r="G7" s="12">
        <f>Допущения!C17</f>
        <v>6</v>
      </c>
      <c r="H7" s="12">
        <f>Допущения!C17</f>
        <v>6</v>
      </c>
      <c r="I7" s="12">
        <f>Допущения!C17</f>
        <v>6</v>
      </c>
      <c r="J7" s="12">
        <f>Допущения!C17</f>
        <v>6</v>
      </c>
      <c r="K7" s="12">
        <f>Допущения!C17</f>
        <v>6</v>
      </c>
      <c r="L7" s="12">
        <f>Допущения!C17</f>
        <v>6</v>
      </c>
      <c r="M7" s="12">
        <f>Допущения!C17</f>
        <v>6</v>
      </c>
      <c r="N7" s="12">
        <f>Допущения!C17</f>
        <v>6</v>
      </c>
      <c r="O7" s="12">
        <f>Допущения!C17</f>
        <v>6</v>
      </c>
      <c r="P7" s="12">
        <f>Допущения!C17</f>
        <v>6</v>
      </c>
      <c r="Q7" s="12">
        <f>Допущения!C17</f>
        <v>6</v>
      </c>
      <c r="R7" s="12">
        <f>Допущения!C17</f>
        <v>6</v>
      </c>
      <c r="S7" s="12">
        <f>Допущения!C17</f>
        <v>6</v>
      </c>
      <c r="T7" s="12">
        <f>Допущения!C17</f>
        <v>6</v>
      </c>
      <c r="U7" s="12">
        <f>Допущения!C17</f>
        <v>6</v>
      </c>
      <c r="V7" s="12">
        <f>Допущения!C17</f>
        <v>6</v>
      </c>
      <c r="W7" s="12">
        <f>Допущения!C17</f>
        <v>6</v>
      </c>
      <c r="X7" s="12">
        <f>Допущения!C17</f>
        <v>6</v>
      </c>
      <c r="Y7" s="12">
        <f>Допущения!C17</f>
        <v>6</v>
      </c>
      <c r="Z7" s="12">
        <f>Допущения!C17</f>
        <v>6</v>
      </c>
      <c r="AA7" s="12">
        <f>Допущения!C19*12</f>
        <v>120</v>
      </c>
      <c r="AB7" s="12">
        <f>Допущения!C19*12</f>
        <v>120</v>
      </c>
      <c r="AC7" s="12">
        <f>Допущения!C19*12</f>
        <v>120</v>
      </c>
    </row>
    <row r="8" spans="1:29" ht="15" customHeight="1" x14ac:dyDescent="0.3">
      <c r="A8" s="2" t="s">
        <v>123</v>
      </c>
      <c r="B8" s="38">
        <v>0</v>
      </c>
      <c r="C8" s="39">
        <v>0</v>
      </c>
      <c r="D8" s="39">
        <v>1</v>
      </c>
      <c r="E8" s="39">
        <v>1</v>
      </c>
      <c r="F8" s="39">
        <v>2</v>
      </c>
      <c r="G8" s="39">
        <v>2</v>
      </c>
      <c r="H8" s="39">
        <v>3</v>
      </c>
      <c r="I8" s="39">
        <v>3</v>
      </c>
      <c r="J8" s="39">
        <v>4</v>
      </c>
      <c r="K8" s="39">
        <v>4</v>
      </c>
      <c r="L8" s="39">
        <v>5</v>
      </c>
      <c r="M8" s="39">
        <v>5</v>
      </c>
      <c r="N8" s="39">
        <v>6</v>
      </c>
      <c r="O8" s="39">
        <v>6</v>
      </c>
      <c r="P8" s="39">
        <v>6</v>
      </c>
      <c r="Q8" s="39">
        <v>6</v>
      </c>
      <c r="R8" s="39">
        <v>6</v>
      </c>
      <c r="S8" s="39">
        <v>6</v>
      </c>
      <c r="T8" s="39">
        <v>6</v>
      </c>
      <c r="U8" s="39">
        <v>6</v>
      </c>
      <c r="V8" s="39">
        <v>6</v>
      </c>
      <c r="W8" s="39">
        <v>6</v>
      </c>
      <c r="X8" s="39">
        <v>6</v>
      </c>
      <c r="Y8" s="39">
        <v>6</v>
      </c>
      <c r="Z8" s="39">
        <v>6</v>
      </c>
      <c r="AA8" s="39">
        <v>120</v>
      </c>
      <c r="AB8" s="39">
        <v>120</v>
      </c>
      <c r="AC8" s="39">
        <v>120</v>
      </c>
    </row>
    <row r="9" spans="1:29" ht="15" customHeight="1" x14ac:dyDescent="0.3">
      <c r="A9" s="2" t="s">
        <v>124</v>
      </c>
      <c r="B9" s="8"/>
      <c r="C9" s="12">
        <f>Допущения!C11</f>
        <v>3000000</v>
      </c>
      <c r="D9" s="12">
        <f>Допущения!C11</f>
        <v>3000000</v>
      </c>
      <c r="E9" s="12">
        <f>Допущения!C11</f>
        <v>3000000</v>
      </c>
      <c r="F9" s="12">
        <f>Допущения!C11</f>
        <v>3000000</v>
      </c>
      <c r="G9" s="12">
        <f>Допущения!C11</f>
        <v>3000000</v>
      </c>
      <c r="H9" s="12">
        <f>Допущения!C11</f>
        <v>3000000</v>
      </c>
      <c r="I9" s="12">
        <f>Допущения!C11</f>
        <v>3000000</v>
      </c>
      <c r="J9" s="12">
        <f>Допущения!C11</f>
        <v>3000000</v>
      </c>
      <c r="K9" s="12">
        <f>Допущения!C11</f>
        <v>3000000</v>
      </c>
      <c r="L9" s="12">
        <f>Допущения!C11</f>
        <v>3000000</v>
      </c>
      <c r="M9" s="12">
        <f>Допущения!C11</f>
        <v>3000000</v>
      </c>
      <c r="N9" s="12">
        <f>Допущения!C11</f>
        <v>3000000</v>
      </c>
      <c r="O9" s="12">
        <f>Допущения!C11</f>
        <v>3000000</v>
      </c>
      <c r="P9" s="12">
        <f>Допущения!C11</f>
        <v>3000000</v>
      </c>
      <c r="Q9" s="12">
        <f>Допущения!C11</f>
        <v>3000000</v>
      </c>
      <c r="R9" s="12">
        <f>Допущения!C11</f>
        <v>3000000</v>
      </c>
      <c r="S9" s="12">
        <f>Допущения!C11</f>
        <v>3000000</v>
      </c>
      <c r="T9" s="12">
        <f>Допущения!C11</f>
        <v>3000000</v>
      </c>
      <c r="U9" s="12">
        <f>Допущения!C11</f>
        <v>3000000</v>
      </c>
      <c r="V9" s="12">
        <f>Допущения!C11</f>
        <v>3000000</v>
      </c>
      <c r="W9" s="12">
        <f>Допущения!C11</f>
        <v>3000000</v>
      </c>
      <c r="X9" s="12">
        <f>Допущения!C11</f>
        <v>3000000</v>
      </c>
      <c r="Y9" s="12">
        <f>Допущения!C11</f>
        <v>3000000</v>
      </c>
      <c r="Z9" s="12">
        <f>Допущения!C11</f>
        <v>3000000</v>
      </c>
      <c r="AA9" s="12">
        <f>Допущения!C11</f>
        <v>3000000</v>
      </c>
      <c r="AB9" s="12">
        <f>Допущения!C11</f>
        <v>3000000</v>
      </c>
      <c r="AC9" s="12">
        <f>Допущения!C11*(1+Допущения!C13)</f>
        <v>3150000</v>
      </c>
    </row>
    <row r="10" spans="1:29" ht="15" customHeight="1" x14ac:dyDescent="0.3">
      <c r="A10" s="2" t="s">
        <v>125</v>
      </c>
      <c r="B10" s="40">
        <f t="shared" ref="B10:AC10" si="0">B8*B9</f>
        <v>0</v>
      </c>
      <c r="C10" s="40">
        <f t="shared" si="0"/>
        <v>0</v>
      </c>
      <c r="D10" s="40">
        <f t="shared" si="0"/>
        <v>3000000</v>
      </c>
      <c r="E10" s="40">
        <f t="shared" si="0"/>
        <v>3000000</v>
      </c>
      <c r="F10" s="40">
        <f t="shared" si="0"/>
        <v>6000000</v>
      </c>
      <c r="G10" s="40">
        <f t="shared" si="0"/>
        <v>6000000</v>
      </c>
      <c r="H10" s="40">
        <f t="shared" si="0"/>
        <v>9000000</v>
      </c>
      <c r="I10" s="40">
        <f t="shared" si="0"/>
        <v>9000000</v>
      </c>
      <c r="J10" s="40">
        <f t="shared" si="0"/>
        <v>12000000</v>
      </c>
      <c r="K10" s="40">
        <f t="shared" si="0"/>
        <v>12000000</v>
      </c>
      <c r="L10" s="40">
        <f t="shared" si="0"/>
        <v>15000000</v>
      </c>
      <c r="M10" s="40">
        <f t="shared" si="0"/>
        <v>15000000</v>
      </c>
      <c r="N10" s="40">
        <f t="shared" si="0"/>
        <v>18000000</v>
      </c>
      <c r="O10" s="40">
        <f t="shared" si="0"/>
        <v>18000000</v>
      </c>
      <c r="P10" s="40">
        <f t="shared" si="0"/>
        <v>18000000</v>
      </c>
      <c r="Q10" s="40">
        <f t="shared" si="0"/>
        <v>18000000</v>
      </c>
      <c r="R10" s="40">
        <f t="shared" si="0"/>
        <v>18000000</v>
      </c>
      <c r="S10" s="40">
        <f t="shared" si="0"/>
        <v>18000000</v>
      </c>
      <c r="T10" s="40">
        <f t="shared" si="0"/>
        <v>18000000</v>
      </c>
      <c r="U10" s="40">
        <f t="shared" si="0"/>
        <v>18000000</v>
      </c>
      <c r="V10" s="40">
        <f t="shared" si="0"/>
        <v>18000000</v>
      </c>
      <c r="W10" s="40">
        <f t="shared" si="0"/>
        <v>18000000</v>
      </c>
      <c r="X10" s="40">
        <f t="shared" si="0"/>
        <v>18000000</v>
      </c>
      <c r="Y10" s="40">
        <f t="shared" si="0"/>
        <v>18000000</v>
      </c>
      <c r="Z10" s="40">
        <f t="shared" si="0"/>
        <v>18000000</v>
      </c>
      <c r="AA10" s="40">
        <f t="shared" si="0"/>
        <v>360000000</v>
      </c>
      <c r="AB10" s="40">
        <f t="shared" si="0"/>
        <v>360000000</v>
      </c>
      <c r="AC10" s="40">
        <f t="shared" si="0"/>
        <v>378000000</v>
      </c>
    </row>
    <row r="11" spans="1:29" ht="15" customHeight="1" x14ac:dyDescent="0.3">
      <c r="A11" s="2" t="s">
        <v>126</v>
      </c>
      <c r="B11" s="8"/>
      <c r="C11" s="12">
        <f>Допущения!C23</f>
        <v>1900000</v>
      </c>
      <c r="D11" s="12">
        <f>Допущения!C23</f>
        <v>1900000</v>
      </c>
      <c r="E11" s="12">
        <f>Допущения!C23</f>
        <v>1900000</v>
      </c>
      <c r="F11" s="12">
        <f>Допущения!C23</f>
        <v>1900000</v>
      </c>
      <c r="G11" s="12">
        <f>Допущения!C23</f>
        <v>1900000</v>
      </c>
      <c r="H11" s="12">
        <f>Допущения!C23</f>
        <v>1900000</v>
      </c>
      <c r="I11" s="12">
        <f>Допущения!C23</f>
        <v>1900000</v>
      </c>
      <c r="J11" s="12">
        <f>Допущения!C23</f>
        <v>1900000</v>
      </c>
      <c r="K11" s="12">
        <f>Допущения!C23</f>
        <v>1900000</v>
      </c>
      <c r="L11" s="12">
        <f>Допущения!C23</f>
        <v>1900000</v>
      </c>
      <c r="M11" s="12">
        <f>Допущения!C23</f>
        <v>1900000</v>
      </c>
      <c r="N11" s="12">
        <f>Допущения!C23</f>
        <v>1900000</v>
      </c>
      <c r="O11" s="12">
        <f>Допущения!C23</f>
        <v>1900000</v>
      </c>
      <c r="P11" s="12">
        <f>Допущения!C23</f>
        <v>1900000</v>
      </c>
      <c r="Q11" s="12">
        <f>Допущения!C23</f>
        <v>1900000</v>
      </c>
      <c r="R11" s="12">
        <f>Допущения!C23</f>
        <v>1900000</v>
      </c>
      <c r="S11" s="12">
        <f>Допущения!C23</f>
        <v>1900000</v>
      </c>
      <c r="T11" s="12">
        <f>Допущения!C23</f>
        <v>1900000</v>
      </c>
      <c r="U11" s="12">
        <f>Допущения!C23</f>
        <v>1900000</v>
      </c>
      <c r="V11" s="12">
        <f>Допущения!C23</f>
        <v>1900000</v>
      </c>
      <c r="W11" s="12">
        <f>Допущения!C23</f>
        <v>1900000</v>
      </c>
      <c r="X11" s="12">
        <f>Допущения!C23</f>
        <v>1900000</v>
      </c>
      <c r="Y11" s="12">
        <f>Допущения!C23</f>
        <v>1900000</v>
      </c>
      <c r="Z11" s="12">
        <f>Допущения!C23</f>
        <v>1900000</v>
      </c>
      <c r="AA11" s="12">
        <f>Допущения!C23</f>
        <v>1900000</v>
      </c>
      <c r="AB11" s="12">
        <f>Допущения!C23</f>
        <v>1900000</v>
      </c>
      <c r="AC11" s="12">
        <f>Допущения!C23</f>
        <v>1900000</v>
      </c>
    </row>
    <row r="12" spans="1:29" ht="15" customHeight="1" x14ac:dyDescent="0.3">
      <c r="A12" s="2" t="s">
        <v>127</v>
      </c>
      <c r="B12" s="40">
        <f t="shared" ref="B12:AC12" si="1">B8*B11</f>
        <v>0</v>
      </c>
      <c r="C12" s="40">
        <f t="shared" si="1"/>
        <v>0</v>
      </c>
      <c r="D12" s="40">
        <f t="shared" si="1"/>
        <v>1900000</v>
      </c>
      <c r="E12" s="40">
        <f t="shared" si="1"/>
        <v>1900000</v>
      </c>
      <c r="F12" s="40">
        <f t="shared" si="1"/>
        <v>3800000</v>
      </c>
      <c r="G12" s="40">
        <f t="shared" si="1"/>
        <v>3800000</v>
      </c>
      <c r="H12" s="40">
        <f t="shared" si="1"/>
        <v>5700000</v>
      </c>
      <c r="I12" s="40">
        <f t="shared" si="1"/>
        <v>5700000</v>
      </c>
      <c r="J12" s="40">
        <f t="shared" si="1"/>
        <v>7600000</v>
      </c>
      <c r="K12" s="40">
        <f t="shared" si="1"/>
        <v>7600000</v>
      </c>
      <c r="L12" s="40">
        <f t="shared" si="1"/>
        <v>9500000</v>
      </c>
      <c r="M12" s="40">
        <f t="shared" si="1"/>
        <v>9500000</v>
      </c>
      <c r="N12" s="40">
        <f t="shared" si="1"/>
        <v>11400000</v>
      </c>
      <c r="O12" s="40">
        <f t="shared" si="1"/>
        <v>11400000</v>
      </c>
      <c r="P12" s="40">
        <f t="shared" si="1"/>
        <v>11400000</v>
      </c>
      <c r="Q12" s="40">
        <f t="shared" si="1"/>
        <v>11400000</v>
      </c>
      <c r="R12" s="40">
        <f t="shared" si="1"/>
        <v>11400000</v>
      </c>
      <c r="S12" s="40">
        <f t="shared" si="1"/>
        <v>11400000</v>
      </c>
      <c r="T12" s="40">
        <f t="shared" si="1"/>
        <v>11400000</v>
      </c>
      <c r="U12" s="40">
        <f t="shared" si="1"/>
        <v>11400000</v>
      </c>
      <c r="V12" s="40">
        <f t="shared" si="1"/>
        <v>11400000</v>
      </c>
      <c r="W12" s="40">
        <f t="shared" si="1"/>
        <v>11400000</v>
      </c>
      <c r="X12" s="40">
        <f t="shared" si="1"/>
        <v>11400000</v>
      </c>
      <c r="Y12" s="40">
        <f t="shared" si="1"/>
        <v>11400000</v>
      </c>
      <c r="Z12" s="40">
        <f t="shared" si="1"/>
        <v>11400000</v>
      </c>
      <c r="AA12" s="40">
        <f t="shared" si="1"/>
        <v>228000000</v>
      </c>
      <c r="AB12" s="40">
        <f t="shared" si="1"/>
        <v>228000000</v>
      </c>
      <c r="AC12" s="40">
        <f t="shared" si="1"/>
        <v>228000000</v>
      </c>
    </row>
    <row r="13" spans="1:29" ht="15" customHeight="1" x14ac:dyDescent="0.3">
      <c r="A13" s="2" t="s">
        <v>128</v>
      </c>
      <c r="B13" s="40">
        <f t="shared" ref="B13:AC13" si="2">B10-B12</f>
        <v>0</v>
      </c>
      <c r="C13" s="40">
        <f t="shared" si="2"/>
        <v>0</v>
      </c>
      <c r="D13" s="40">
        <f t="shared" si="2"/>
        <v>1100000</v>
      </c>
      <c r="E13" s="40">
        <f t="shared" si="2"/>
        <v>1100000</v>
      </c>
      <c r="F13" s="40">
        <f t="shared" si="2"/>
        <v>2200000</v>
      </c>
      <c r="G13" s="40">
        <f t="shared" si="2"/>
        <v>2200000</v>
      </c>
      <c r="H13" s="40">
        <f t="shared" si="2"/>
        <v>3300000</v>
      </c>
      <c r="I13" s="40">
        <f t="shared" si="2"/>
        <v>3300000</v>
      </c>
      <c r="J13" s="40">
        <f t="shared" si="2"/>
        <v>4400000</v>
      </c>
      <c r="K13" s="40">
        <f t="shared" si="2"/>
        <v>4400000</v>
      </c>
      <c r="L13" s="40">
        <f t="shared" si="2"/>
        <v>5500000</v>
      </c>
      <c r="M13" s="40">
        <f t="shared" si="2"/>
        <v>5500000</v>
      </c>
      <c r="N13" s="40">
        <f t="shared" si="2"/>
        <v>6600000</v>
      </c>
      <c r="O13" s="40">
        <f t="shared" si="2"/>
        <v>6600000</v>
      </c>
      <c r="P13" s="40">
        <f t="shared" si="2"/>
        <v>6600000</v>
      </c>
      <c r="Q13" s="40">
        <f t="shared" si="2"/>
        <v>6600000</v>
      </c>
      <c r="R13" s="40">
        <f t="shared" si="2"/>
        <v>6600000</v>
      </c>
      <c r="S13" s="40">
        <f t="shared" si="2"/>
        <v>6600000</v>
      </c>
      <c r="T13" s="40">
        <f t="shared" si="2"/>
        <v>6600000</v>
      </c>
      <c r="U13" s="40">
        <f t="shared" si="2"/>
        <v>6600000</v>
      </c>
      <c r="V13" s="40">
        <f t="shared" si="2"/>
        <v>6600000</v>
      </c>
      <c r="W13" s="40">
        <f t="shared" si="2"/>
        <v>6600000</v>
      </c>
      <c r="X13" s="40">
        <f t="shared" si="2"/>
        <v>6600000</v>
      </c>
      <c r="Y13" s="40">
        <f t="shared" si="2"/>
        <v>6600000</v>
      </c>
      <c r="Z13" s="40">
        <f t="shared" si="2"/>
        <v>6600000</v>
      </c>
      <c r="AA13" s="40">
        <f t="shared" si="2"/>
        <v>132000000</v>
      </c>
      <c r="AB13" s="40">
        <f t="shared" si="2"/>
        <v>132000000</v>
      </c>
      <c r="AC13" s="40">
        <f t="shared" si="2"/>
        <v>150000000</v>
      </c>
    </row>
    <row r="14" spans="1:29" ht="15" customHeight="1" x14ac:dyDescent="0.3">
      <c r="A14" s="2" t="s">
        <v>129</v>
      </c>
      <c r="B14" s="40">
        <v>0</v>
      </c>
      <c r="C14" s="40">
        <f>Допущения!C24</f>
        <v>3000000</v>
      </c>
      <c r="D14" s="40">
        <f>Допущения!C24</f>
        <v>3000000</v>
      </c>
      <c r="E14" s="40">
        <f>Допущения!C24</f>
        <v>3000000</v>
      </c>
      <c r="F14" s="40">
        <f>Допущения!C24</f>
        <v>3000000</v>
      </c>
      <c r="G14" s="40">
        <f>Допущения!C24</f>
        <v>3000000</v>
      </c>
      <c r="H14" s="40">
        <f>Допущения!C24</f>
        <v>3000000</v>
      </c>
      <c r="I14" s="40">
        <f>Допущения!C24</f>
        <v>3000000</v>
      </c>
      <c r="J14" s="40">
        <f>Допущения!C24</f>
        <v>3000000</v>
      </c>
      <c r="K14" s="40">
        <f>Допущения!C24</f>
        <v>3000000</v>
      </c>
      <c r="L14" s="40">
        <f>Допущения!C24</f>
        <v>3000000</v>
      </c>
      <c r="M14" s="40">
        <f>Допущения!C24</f>
        <v>3000000</v>
      </c>
      <c r="N14" s="40">
        <f>Допущения!C24</f>
        <v>3000000</v>
      </c>
      <c r="O14" s="40">
        <f>Допущения!C24</f>
        <v>3000000</v>
      </c>
      <c r="P14" s="40">
        <f>Допущения!C24</f>
        <v>3000000</v>
      </c>
      <c r="Q14" s="40">
        <f>Допущения!C24</f>
        <v>3000000</v>
      </c>
      <c r="R14" s="40">
        <f>Допущения!C24</f>
        <v>3000000</v>
      </c>
      <c r="S14" s="40">
        <f>Допущения!C24</f>
        <v>3000000</v>
      </c>
      <c r="T14" s="40">
        <f>Допущения!C24</f>
        <v>3000000</v>
      </c>
      <c r="U14" s="40">
        <f>Допущения!C24</f>
        <v>3000000</v>
      </c>
      <c r="V14" s="40">
        <f>Допущения!C24</f>
        <v>3000000</v>
      </c>
      <c r="W14" s="40">
        <f>Допущения!C24</f>
        <v>3000000</v>
      </c>
      <c r="X14" s="40">
        <f>Допущения!C24</f>
        <v>3000000</v>
      </c>
      <c r="Y14" s="40">
        <f>Допущения!C24</f>
        <v>3000000</v>
      </c>
      <c r="Z14" s="40">
        <f>Допущения!C24</f>
        <v>3000000</v>
      </c>
      <c r="AA14" s="40">
        <f>Допущения!C25*12</f>
        <v>45600000</v>
      </c>
      <c r="AB14" s="40">
        <f>Допущения!C25*12</f>
        <v>45600000</v>
      </c>
      <c r="AC14" s="40">
        <f>Допущения!C25*12</f>
        <v>45600000</v>
      </c>
    </row>
    <row r="15" spans="1:29" ht="15" customHeight="1" x14ac:dyDescent="0.3">
      <c r="A15" s="2" t="s">
        <v>130</v>
      </c>
      <c r="B15" s="40">
        <v>0</v>
      </c>
      <c r="C15" s="40">
        <f>Допущения!C26</f>
        <v>1000000</v>
      </c>
      <c r="D15" s="40">
        <f>Допущения!C26</f>
        <v>1000000</v>
      </c>
      <c r="E15" s="40">
        <f>Допущения!C26</f>
        <v>1000000</v>
      </c>
      <c r="F15" s="40">
        <f>Допущения!C26</f>
        <v>1000000</v>
      </c>
      <c r="G15" s="40">
        <f>Допущения!C26</f>
        <v>1000000</v>
      </c>
      <c r="H15" s="40">
        <f>Допущения!C26</f>
        <v>1000000</v>
      </c>
      <c r="I15" s="40">
        <f>Допущения!C26</f>
        <v>1000000</v>
      </c>
      <c r="J15" s="40">
        <f>Допущения!C26</f>
        <v>1000000</v>
      </c>
      <c r="K15" s="40">
        <f>Допущения!C26</f>
        <v>1000000</v>
      </c>
      <c r="L15" s="40">
        <f>Допущения!C26</f>
        <v>1000000</v>
      </c>
      <c r="M15" s="40">
        <f>Допущения!C26</f>
        <v>1000000</v>
      </c>
      <c r="N15" s="40">
        <f>Допущения!C26</f>
        <v>1000000</v>
      </c>
      <c r="O15" s="40">
        <f>Допущения!C26</f>
        <v>1000000</v>
      </c>
      <c r="P15" s="40">
        <f>Допущения!C26</f>
        <v>1000000</v>
      </c>
      <c r="Q15" s="40">
        <f>Допущения!C26</f>
        <v>1000000</v>
      </c>
      <c r="R15" s="40">
        <f>Допущения!C26</f>
        <v>1000000</v>
      </c>
      <c r="S15" s="40">
        <f>Допущения!C26</f>
        <v>1000000</v>
      </c>
      <c r="T15" s="40">
        <f>Допущения!C26</f>
        <v>1000000</v>
      </c>
      <c r="U15" s="40">
        <f>Допущения!C26</f>
        <v>1000000</v>
      </c>
      <c r="V15" s="40">
        <f>Допущения!C26</f>
        <v>1000000</v>
      </c>
      <c r="W15" s="40">
        <f>Допущения!C26</f>
        <v>1000000</v>
      </c>
      <c r="X15" s="40">
        <f>Допущения!C26</f>
        <v>1000000</v>
      </c>
      <c r="Y15" s="40">
        <f>Допущения!C26</f>
        <v>1000000</v>
      </c>
      <c r="Z15" s="40">
        <f>Допущения!C26</f>
        <v>1000000</v>
      </c>
      <c r="AA15" s="40">
        <f>Допущения!C27*12</f>
        <v>15600000</v>
      </c>
      <c r="AB15" s="40">
        <f>Допущения!C27*12</f>
        <v>15600000</v>
      </c>
      <c r="AC15" s="40">
        <f>Допущения!C27*12</f>
        <v>15600000</v>
      </c>
    </row>
    <row r="16" spans="1:29" ht="15" customHeight="1" x14ac:dyDescent="0.3">
      <c r="A16" s="2" t="s">
        <v>131</v>
      </c>
      <c r="B16" s="40">
        <v>0</v>
      </c>
      <c r="C16" s="40">
        <f>Допущения!C16/Допущения!C20/12</f>
        <v>476190.47619047621</v>
      </c>
      <c r="D16" s="40">
        <f>Допущения!C16/Допущения!C20/12</f>
        <v>476190.47619047621</v>
      </c>
      <c r="E16" s="40">
        <f>Допущения!C16/Допущения!C20/12</f>
        <v>476190.47619047621</v>
      </c>
      <c r="F16" s="40">
        <f>Допущения!C16/Допущения!C20/12</f>
        <v>476190.47619047621</v>
      </c>
      <c r="G16" s="40">
        <f>Допущения!C16/Допущения!C20/12</f>
        <v>476190.47619047621</v>
      </c>
      <c r="H16" s="40">
        <f>Допущения!C16/Допущения!C20/12</f>
        <v>476190.47619047621</v>
      </c>
      <c r="I16" s="40">
        <f>Допущения!C16/Допущения!C20/12</f>
        <v>476190.47619047621</v>
      </c>
      <c r="J16" s="40">
        <f>Допущения!C16/Допущения!C20/12</f>
        <v>476190.47619047621</v>
      </c>
      <c r="K16" s="40">
        <f>Допущения!C16/Допущения!C20/12</f>
        <v>476190.47619047621</v>
      </c>
      <c r="L16" s="40">
        <f>Допущения!C16/Допущения!C20/12</f>
        <v>476190.47619047621</v>
      </c>
      <c r="M16" s="40">
        <f>Допущения!C16/Допущения!C20/12</f>
        <v>476190.47619047621</v>
      </c>
      <c r="N16" s="40">
        <f>Допущения!C16/Допущения!C20/12</f>
        <v>476190.47619047621</v>
      </c>
      <c r="O16" s="40">
        <f>Допущения!C16/Допущения!C20/12</f>
        <v>476190.47619047621</v>
      </c>
      <c r="P16" s="40">
        <f>Допущения!C16/Допущения!C20/12</f>
        <v>476190.47619047621</v>
      </c>
      <c r="Q16" s="40">
        <f>Допущения!C16/Допущения!C20/12</f>
        <v>476190.47619047621</v>
      </c>
      <c r="R16" s="40">
        <f>Допущения!C16/Допущения!C20/12</f>
        <v>476190.47619047621</v>
      </c>
      <c r="S16" s="40">
        <f>Допущения!C16/Допущения!C20/12</f>
        <v>476190.47619047621</v>
      </c>
      <c r="T16" s="40">
        <f>Допущения!C16/Допущения!C20/12</f>
        <v>476190.47619047621</v>
      </c>
      <c r="U16" s="40">
        <f>Допущения!C16/Допущения!C20/12</f>
        <v>476190.47619047621</v>
      </c>
      <c r="V16" s="40">
        <f>Допущения!C16/Допущения!C20/12</f>
        <v>476190.47619047621</v>
      </c>
      <c r="W16" s="40">
        <f>Допущения!C16/Допущения!C20/12</f>
        <v>476190.47619047621</v>
      </c>
      <c r="X16" s="40">
        <f>Допущения!C16/Допущения!C20/12</f>
        <v>476190.47619047621</v>
      </c>
      <c r="Y16" s="40">
        <f>Допущения!C16/Допущения!C20/12</f>
        <v>476190.47619047621</v>
      </c>
      <c r="Z16" s="40">
        <f>Допущения!C16/Допущения!C20/12</f>
        <v>476190.47619047621</v>
      </c>
      <c r="AA16" s="40">
        <f>Допущения!C16/Допущения!C20+Допущения!C18/Допущения!C20</f>
        <v>10000000</v>
      </c>
      <c r="AB16" s="40">
        <f>Допущения!C16/Допущения!C20+Допущения!C18/Допущения!C20</f>
        <v>10000000</v>
      </c>
      <c r="AC16" s="40">
        <f>Допущения!C16/Допущения!C20+Допущения!C18/Допущения!C20</f>
        <v>10000000</v>
      </c>
    </row>
    <row r="17" spans="1:30" ht="15" customHeight="1" x14ac:dyDescent="0.3">
      <c r="A17" s="2" t="s">
        <v>132</v>
      </c>
      <c r="B17" s="40">
        <f t="shared" ref="B17:AC17" si="3">B13-B14-B15-B16</f>
        <v>0</v>
      </c>
      <c r="C17" s="40">
        <f t="shared" si="3"/>
        <v>-4476190.4761904757</v>
      </c>
      <c r="D17" s="40">
        <f t="shared" si="3"/>
        <v>-3376190.4761904762</v>
      </c>
      <c r="E17" s="40">
        <f t="shared" si="3"/>
        <v>-3376190.4761904762</v>
      </c>
      <c r="F17" s="40">
        <f t="shared" si="3"/>
        <v>-2276190.4761904762</v>
      </c>
      <c r="G17" s="40">
        <f t="shared" si="3"/>
        <v>-2276190.4761904762</v>
      </c>
      <c r="H17" s="40">
        <f t="shared" si="3"/>
        <v>-1176190.4761904762</v>
      </c>
      <c r="I17" s="40">
        <f t="shared" si="3"/>
        <v>-1176190.4761904762</v>
      </c>
      <c r="J17" s="40">
        <f t="shared" si="3"/>
        <v>-76190.476190476213</v>
      </c>
      <c r="K17" s="40">
        <f t="shared" si="3"/>
        <v>-76190.476190476213</v>
      </c>
      <c r="L17" s="40">
        <f t="shared" si="3"/>
        <v>1023809.5238095238</v>
      </c>
      <c r="M17" s="40">
        <f t="shared" si="3"/>
        <v>1023809.5238095238</v>
      </c>
      <c r="N17" s="40">
        <f t="shared" si="3"/>
        <v>2123809.5238095238</v>
      </c>
      <c r="O17" s="40">
        <f t="shared" si="3"/>
        <v>2123809.5238095238</v>
      </c>
      <c r="P17" s="40">
        <f t="shared" si="3"/>
        <v>2123809.5238095238</v>
      </c>
      <c r="Q17" s="40">
        <f t="shared" si="3"/>
        <v>2123809.5238095238</v>
      </c>
      <c r="R17" s="40">
        <f t="shared" si="3"/>
        <v>2123809.5238095238</v>
      </c>
      <c r="S17" s="40">
        <f t="shared" si="3"/>
        <v>2123809.5238095238</v>
      </c>
      <c r="T17" s="40">
        <f t="shared" si="3"/>
        <v>2123809.5238095238</v>
      </c>
      <c r="U17" s="40">
        <f t="shared" si="3"/>
        <v>2123809.5238095238</v>
      </c>
      <c r="V17" s="40">
        <f t="shared" si="3"/>
        <v>2123809.5238095238</v>
      </c>
      <c r="W17" s="40">
        <f t="shared" si="3"/>
        <v>2123809.5238095238</v>
      </c>
      <c r="X17" s="40">
        <f t="shared" si="3"/>
        <v>2123809.5238095238</v>
      </c>
      <c r="Y17" s="40">
        <f t="shared" si="3"/>
        <v>2123809.5238095238</v>
      </c>
      <c r="Z17" s="40">
        <f t="shared" si="3"/>
        <v>2123809.5238095238</v>
      </c>
      <c r="AA17" s="40">
        <f t="shared" si="3"/>
        <v>60800000</v>
      </c>
      <c r="AB17" s="40">
        <f t="shared" si="3"/>
        <v>60800000</v>
      </c>
      <c r="AC17" s="40">
        <f t="shared" si="3"/>
        <v>78800000</v>
      </c>
    </row>
    <row r="18" spans="1:30" ht="15" customHeight="1" x14ac:dyDescent="0.3">
      <c r="A18" s="2" t="s">
        <v>133</v>
      </c>
      <c r="B18" s="40">
        <f>B17*Допущения!C37</f>
        <v>0</v>
      </c>
      <c r="C18" s="40">
        <f>IF(C17 &gt; 0, C17*Допущения!$C$37, 0)</f>
        <v>0</v>
      </c>
      <c r="D18" s="40">
        <f>IF(D17 &gt; 0, D17*Допущения!$C$37, 0)</f>
        <v>0</v>
      </c>
      <c r="E18" s="40">
        <f>IF(E17 &gt; 0, E17*Допущения!$C$37, 0)</f>
        <v>0</v>
      </c>
      <c r="F18" s="40">
        <f>IF(F17 &gt; 0, F17*Допущения!$C$37, 0)</f>
        <v>0</v>
      </c>
      <c r="G18" s="40">
        <f>IF(G17 &gt; 0, G17*Допущения!$C$37, 0)</f>
        <v>0</v>
      </c>
      <c r="H18" s="40">
        <f>IF(H17 &gt; 0, H17*Допущения!$C$37, 0)</f>
        <v>0</v>
      </c>
      <c r="I18" s="40">
        <f>IF(I17 &gt; 0, I17*Допущения!$C$37, 0)</f>
        <v>0</v>
      </c>
      <c r="J18" s="40">
        <f>IF(J17 &gt; 0, J17*Допущения!$C$37, 0)</f>
        <v>0</v>
      </c>
      <c r="K18" s="40">
        <f>IF(K17 &gt; 0, K17*Допущения!$C$37, 0)</f>
        <v>0</v>
      </c>
      <c r="L18" s="40">
        <f>IF(L17 &gt; 0, L17*Допущения!$C$37, 0)</f>
        <v>204761.90476190476</v>
      </c>
      <c r="M18" s="40">
        <f>IF(M17 &gt; 0, M17*Допущения!$C$37, 0)</f>
        <v>204761.90476190476</v>
      </c>
      <c r="N18" s="40">
        <f>IF(N17 &gt; 0, N17*Допущения!$C$37, 0)</f>
        <v>424761.90476190479</v>
      </c>
      <c r="O18" s="40">
        <f>IF(O17 &gt; 0, O17*Допущения!$C$37, 0)</f>
        <v>424761.90476190479</v>
      </c>
      <c r="P18" s="40">
        <f>IF(P17 &gt; 0, P17*Допущения!$C$37, 0)</f>
        <v>424761.90476190479</v>
      </c>
      <c r="Q18" s="40">
        <f>IF(Q17 &gt; 0, Q17*Допущения!$C$37, 0)</f>
        <v>424761.90476190479</v>
      </c>
      <c r="R18" s="40">
        <f>IF(R17 &gt; 0, R17*Допущения!$C$37, 0)</f>
        <v>424761.90476190479</v>
      </c>
      <c r="S18" s="40">
        <f>IF(S17 &gt; 0, S17*Допущения!$C$37, 0)</f>
        <v>424761.90476190479</v>
      </c>
      <c r="T18" s="40">
        <f>IF(T17 &gt; 0, T17*Допущения!$C$37, 0)</f>
        <v>424761.90476190479</v>
      </c>
      <c r="U18" s="40">
        <f>IF(U17 &gt; 0, U17*Допущения!$C$37, 0)</f>
        <v>424761.90476190479</v>
      </c>
      <c r="V18" s="40">
        <f>IF(V17 &gt; 0, V17*Допущения!$C$37, 0)</f>
        <v>424761.90476190479</v>
      </c>
      <c r="W18" s="40">
        <f>IF(W17 &gt; 0, W17*Допущения!$C$37, 0)</f>
        <v>424761.90476190479</v>
      </c>
      <c r="X18" s="40">
        <f>IF(X17 &gt; 0, X17*Допущения!$C$37, 0)</f>
        <v>424761.90476190479</v>
      </c>
      <c r="Y18" s="40">
        <f>IF(Y17 &gt; 0, Y17*Допущения!$C$37, 0)</f>
        <v>424761.90476190479</v>
      </c>
      <c r="Z18" s="40">
        <f>IF(Z17 &gt; 0, Z17*Допущения!$C$37, 0)</f>
        <v>424761.90476190479</v>
      </c>
      <c r="AA18" s="40">
        <f>IF(AA17 &gt; 0, AA17*Допущения!$C$37, 0)</f>
        <v>12160000</v>
      </c>
      <c r="AB18" s="40">
        <f>IF(AB17 &gt; 0, AB17*Допущения!$C$37, 0)</f>
        <v>12160000</v>
      </c>
      <c r="AC18" s="40">
        <f>IF(AC17 &gt; 0, AC17*Допущения!$C$37, 0)</f>
        <v>15760000</v>
      </c>
    </row>
    <row r="19" spans="1:30" ht="15" customHeight="1" x14ac:dyDescent="0.3">
      <c r="A19" s="2" t="s">
        <v>134</v>
      </c>
      <c r="B19" s="40">
        <f t="shared" ref="B19:AC19" si="4">B17-B18</f>
        <v>0</v>
      </c>
      <c r="C19" s="40">
        <f t="shared" si="4"/>
        <v>-4476190.4761904757</v>
      </c>
      <c r="D19" s="40">
        <f t="shared" si="4"/>
        <v>-3376190.4761904762</v>
      </c>
      <c r="E19" s="40">
        <f t="shared" si="4"/>
        <v>-3376190.4761904762</v>
      </c>
      <c r="F19" s="40">
        <f t="shared" si="4"/>
        <v>-2276190.4761904762</v>
      </c>
      <c r="G19" s="40">
        <f t="shared" si="4"/>
        <v>-2276190.4761904762</v>
      </c>
      <c r="H19" s="40">
        <f t="shared" si="4"/>
        <v>-1176190.4761904762</v>
      </c>
      <c r="I19" s="40">
        <f t="shared" si="4"/>
        <v>-1176190.4761904762</v>
      </c>
      <c r="J19" s="40">
        <f t="shared" si="4"/>
        <v>-76190.476190476213</v>
      </c>
      <c r="K19" s="40">
        <f t="shared" si="4"/>
        <v>-76190.476190476213</v>
      </c>
      <c r="L19" s="40">
        <f t="shared" si="4"/>
        <v>819047.61904761905</v>
      </c>
      <c r="M19" s="40">
        <f t="shared" si="4"/>
        <v>819047.61904761905</v>
      </c>
      <c r="N19" s="40">
        <f t="shared" si="4"/>
        <v>1699047.6190476189</v>
      </c>
      <c r="O19" s="40">
        <f t="shared" si="4"/>
        <v>1699047.6190476189</v>
      </c>
      <c r="P19" s="40">
        <f t="shared" si="4"/>
        <v>1699047.6190476189</v>
      </c>
      <c r="Q19" s="40">
        <f t="shared" si="4"/>
        <v>1699047.6190476189</v>
      </c>
      <c r="R19" s="40">
        <f t="shared" si="4"/>
        <v>1699047.6190476189</v>
      </c>
      <c r="S19" s="40">
        <f t="shared" si="4"/>
        <v>1699047.6190476189</v>
      </c>
      <c r="T19" s="40">
        <f t="shared" si="4"/>
        <v>1699047.6190476189</v>
      </c>
      <c r="U19" s="40">
        <f t="shared" si="4"/>
        <v>1699047.6190476189</v>
      </c>
      <c r="V19" s="40">
        <f t="shared" si="4"/>
        <v>1699047.6190476189</v>
      </c>
      <c r="W19" s="40">
        <f t="shared" si="4"/>
        <v>1699047.6190476189</v>
      </c>
      <c r="X19" s="40">
        <f t="shared" si="4"/>
        <v>1699047.6190476189</v>
      </c>
      <c r="Y19" s="40">
        <f t="shared" si="4"/>
        <v>1699047.6190476189</v>
      </c>
      <c r="Z19" s="40">
        <f t="shared" si="4"/>
        <v>1699047.6190476189</v>
      </c>
      <c r="AA19" s="40">
        <f t="shared" si="4"/>
        <v>48640000</v>
      </c>
      <c r="AB19" s="40">
        <f t="shared" si="4"/>
        <v>48640000</v>
      </c>
      <c r="AC19" s="40">
        <f t="shared" si="4"/>
        <v>63040000</v>
      </c>
    </row>
    <row r="20" spans="1:30" ht="15" customHeight="1" x14ac:dyDescent="0.3">
      <c r="A20" s="2" t="s">
        <v>135</v>
      </c>
      <c r="B20" s="40">
        <f t="shared" ref="B20:AC20" si="5">B16</f>
        <v>0</v>
      </c>
      <c r="C20" s="40">
        <f t="shared" si="5"/>
        <v>476190.47619047621</v>
      </c>
      <c r="D20" s="40">
        <f t="shared" si="5"/>
        <v>476190.47619047621</v>
      </c>
      <c r="E20" s="40">
        <f t="shared" si="5"/>
        <v>476190.47619047621</v>
      </c>
      <c r="F20" s="40">
        <f t="shared" si="5"/>
        <v>476190.47619047621</v>
      </c>
      <c r="G20" s="40">
        <f t="shared" si="5"/>
        <v>476190.47619047621</v>
      </c>
      <c r="H20" s="40">
        <f t="shared" si="5"/>
        <v>476190.47619047621</v>
      </c>
      <c r="I20" s="40">
        <f t="shared" si="5"/>
        <v>476190.47619047621</v>
      </c>
      <c r="J20" s="40">
        <f t="shared" si="5"/>
        <v>476190.47619047621</v>
      </c>
      <c r="K20" s="40">
        <f t="shared" si="5"/>
        <v>476190.47619047621</v>
      </c>
      <c r="L20" s="40">
        <f t="shared" si="5"/>
        <v>476190.47619047621</v>
      </c>
      <c r="M20" s="40">
        <f t="shared" si="5"/>
        <v>476190.47619047621</v>
      </c>
      <c r="N20" s="40">
        <f t="shared" si="5"/>
        <v>476190.47619047621</v>
      </c>
      <c r="O20" s="40">
        <f t="shared" si="5"/>
        <v>476190.47619047621</v>
      </c>
      <c r="P20" s="40">
        <f t="shared" si="5"/>
        <v>476190.47619047621</v>
      </c>
      <c r="Q20" s="40">
        <f t="shared" si="5"/>
        <v>476190.47619047621</v>
      </c>
      <c r="R20" s="40">
        <f t="shared" si="5"/>
        <v>476190.47619047621</v>
      </c>
      <c r="S20" s="40">
        <f t="shared" si="5"/>
        <v>476190.47619047621</v>
      </c>
      <c r="T20" s="40">
        <f t="shared" si="5"/>
        <v>476190.47619047621</v>
      </c>
      <c r="U20" s="40">
        <f t="shared" si="5"/>
        <v>476190.47619047621</v>
      </c>
      <c r="V20" s="40">
        <f t="shared" si="5"/>
        <v>476190.47619047621</v>
      </c>
      <c r="W20" s="40">
        <f t="shared" si="5"/>
        <v>476190.47619047621</v>
      </c>
      <c r="X20" s="40">
        <f t="shared" si="5"/>
        <v>476190.47619047621</v>
      </c>
      <c r="Y20" s="40">
        <f t="shared" si="5"/>
        <v>476190.47619047621</v>
      </c>
      <c r="Z20" s="40">
        <f t="shared" si="5"/>
        <v>476190.47619047621</v>
      </c>
      <c r="AA20" s="40">
        <f t="shared" si="5"/>
        <v>10000000</v>
      </c>
      <c r="AB20" s="40">
        <f t="shared" si="5"/>
        <v>10000000</v>
      </c>
      <c r="AC20" s="40">
        <f t="shared" si="5"/>
        <v>10000000</v>
      </c>
    </row>
    <row r="21" spans="1:30" ht="15" customHeight="1" x14ac:dyDescent="0.3">
      <c r="A21" s="2" t="s">
        <v>136</v>
      </c>
      <c r="B21" s="40">
        <f>Допущения!C16</f>
        <v>40000000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0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f>Допущения!C18</f>
        <v>30000000</v>
      </c>
      <c r="AB21" s="40">
        <v>0</v>
      </c>
      <c r="AC21" s="40">
        <v>0</v>
      </c>
    </row>
    <row r="22" spans="1:30" ht="15" customHeight="1" x14ac:dyDescent="0.3">
      <c r="A22" s="2" t="s">
        <v>137</v>
      </c>
      <c r="B22" s="40">
        <v>0</v>
      </c>
      <c r="C22" s="40">
        <f>C10*Допущения!$C$33/Допущения!$C$31</f>
        <v>0</v>
      </c>
      <c r="D22" s="40">
        <f>D10*Допущения!$C$33/Допущения!$C$31</f>
        <v>4500000</v>
      </c>
      <c r="E22" s="40">
        <f>E10*Допущения!$C$33/Допущения!$C$31</f>
        <v>4500000</v>
      </c>
      <c r="F22" s="40">
        <f>F10*Допущения!$C$33/Допущения!$C$31</f>
        <v>9000000</v>
      </c>
      <c r="G22" s="40">
        <f>G10*Допущения!$C$33/Допущения!$C$31</f>
        <v>9000000</v>
      </c>
      <c r="H22" s="40">
        <f>H10*Допущения!$C$33/Допущения!$C$31</f>
        <v>13500000</v>
      </c>
      <c r="I22" s="40">
        <f>I10*Допущения!$C$33/Допущения!$C$31</f>
        <v>13500000</v>
      </c>
      <c r="J22" s="40">
        <f>J10*Допущения!$C$33/Допущения!$C$31</f>
        <v>18000000</v>
      </c>
      <c r="K22" s="40">
        <f>K10*Допущения!$C$33/Допущения!$C$31</f>
        <v>18000000</v>
      </c>
      <c r="L22" s="40">
        <f>L10*Допущения!$C$33/Допущения!$C$31</f>
        <v>22500000</v>
      </c>
      <c r="M22" s="40">
        <f>M10*Допущения!$C$33/Допущения!$C$31</f>
        <v>22500000</v>
      </c>
      <c r="N22" s="40">
        <f>N10*Допущения!$C$33/Допущения!$C$31</f>
        <v>27000000</v>
      </c>
      <c r="O22" s="40">
        <f>O10*Допущения!$C$33/Допущения!$C$31</f>
        <v>27000000</v>
      </c>
      <c r="P22" s="40">
        <f>P10*Допущения!$C$33/Допущения!$C$31</f>
        <v>27000000</v>
      </c>
      <c r="Q22" s="40">
        <f>Q10*Допущения!$C$33/Допущения!$C$31</f>
        <v>27000000</v>
      </c>
      <c r="R22" s="40">
        <f>R10*Допущения!$C$33/Допущения!$C$31</f>
        <v>27000000</v>
      </c>
      <c r="S22" s="40">
        <f>S10*Допущения!$C$33/Допущения!$C$31</f>
        <v>27000000</v>
      </c>
      <c r="T22" s="40">
        <f>T10*Допущения!$C$33/Допущения!$C$31</f>
        <v>27000000</v>
      </c>
      <c r="U22" s="40">
        <f>U10*Допущения!$C$33/Допущения!$C$31</f>
        <v>27000000</v>
      </c>
      <c r="V22" s="40">
        <f>V10*Допущения!$C$33/Допущения!$C$31</f>
        <v>27000000</v>
      </c>
      <c r="W22" s="40">
        <f>W10*Допущения!$C$33/Допущения!$C$31</f>
        <v>27000000</v>
      </c>
      <c r="X22" s="40">
        <f>X10*Допущения!$C$33/Допущения!$C$31</f>
        <v>27000000</v>
      </c>
      <c r="Y22" s="40">
        <f>Y10*Допущения!$C$33/Допущения!$C$31</f>
        <v>27000000</v>
      </c>
      <c r="Z22" s="40">
        <f>Z10*Допущения!$C$33/Допущения!$C$31</f>
        <v>27000000</v>
      </c>
      <c r="AA22" s="40">
        <f>AA10*Допущения!$C$33/Допущения!$C$42</f>
        <v>45000000</v>
      </c>
      <c r="AB22" s="40">
        <f>AB10*Допущения!$C$33/Допущения!$C$42</f>
        <v>45000000</v>
      </c>
      <c r="AC22" s="40">
        <f>AC10*Допущения!$C$33/Допущения!$C$42</f>
        <v>47250000</v>
      </c>
    </row>
    <row r="23" spans="1:30" ht="15" customHeight="1" x14ac:dyDescent="0.3">
      <c r="A23" s="2" t="s">
        <v>138</v>
      </c>
      <c r="B23" s="40">
        <f>B12*(Допущения!$C$32/Допущения!$C$31)</f>
        <v>0</v>
      </c>
      <c r="C23" s="40">
        <f>C12*(Допущения!$C$32/Допущения!$C$31)</f>
        <v>0</v>
      </c>
      <c r="D23" s="40">
        <f>D12*(Допущения!$C$32/Допущения!$C$31)</f>
        <v>2850000</v>
      </c>
      <c r="E23" s="40">
        <f>E12*(Допущения!$C$32/Допущения!$C$31)</f>
        <v>2850000</v>
      </c>
      <c r="F23" s="40">
        <f>F12*(Допущения!$C$32/Допущения!$C$31)</f>
        <v>5700000</v>
      </c>
      <c r="G23" s="40">
        <f>G12*(Допущения!$C$32/Допущения!$C$31)</f>
        <v>5700000</v>
      </c>
      <c r="H23" s="40">
        <f>H12*(Допущения!$C$32/Допущения!$C$31)</f>
        <v>8550000</v>
      </c>
      <c r="I23" s="40">
        <f>I12*(Допущения!$C$32/Допущения!$C$31)</f>
        <v>8550000</v>
      </c>
      <c r="J23" s="40">
        <f>J12*(Допущения!$C$32/Допущения!$C$31)</f>
        <v>11400000</v>
      </c>
      <c r="K23" s="40">
        <f>K12*(Допущения!$C$32/Допущения!$C$31)</f>
        <v>11400000</v>
      </c>
      <c r="L23" s="40">
        <f>L12*(Допущения!$C$32/Допущения!$C$31)</f>
        <v>14250000</v>
      </c>
      <c r="M23" s="40">
        <f>M12*(Допущения!$C$32/Допущения!$C$31)</f>
        <v>14250000</v>
      </c>
      <c r="N23" s="40">
        <f>N12*(Допущения!$C$32/Допущения!$C$31)</f>
        <v>17100000</v>
      </c>
      <c r="O23" s="40">
        <f>O12*(Допущения!$C$32/Допущения!$C$31)</f>
        <v>17100000</v>
      </c>
      <c r="P23" s="40">
        <f>P12*(Допущения!$C$32/Допущения!$C$31)</f>
        <v>17100000</v>
      </c>
      <c r="Q23" s="40">
        <f>Q12*(Допущения!$C$32/Допущения!$C$31)</f>
        <v>17100000</v>
      </c>
      <c r="R23" s="40">
        <f>R12*(Допущения!$C$32/Допущения!$C$31)</f>
        <v>17100000</v>
      </c>
      <c r="S23" s="40">
        <f>S12*(Допущения!$C$32/Допущения!$C$31)</f>
        <v>17100000</v>
      </c>
      <c r="T23" s="40">
        <f>T12*(Допущения!$C$32/Допущения!$C$31)</f>
        <v>17100000</v>
      </c>
      <c r="U23" s="40">
        <f>U12*(Допущения!$C$32/Допущения!$C$31)</f>
        <v>17100000</v>
      </c>
      <c r="V23" s="40">
        <f>V12*(Допущения!$C$32/Допущения!$C$31)</f>
        <v>17100000</v>
      </c>
      <c r="W23" s="40">
        <f>W12*(Допущения!$C$32/Допущения!$C$31)</f>
        <v>17100000</v>
      </c>
      <c r="X23" s="40">
        <f>X12*(Допущения!$C$32/Допущения!$C$31)</f>
        <v>17100000</v>
      </c>
      <c r="Y23" s="40">
        <f>Y12*(Допущения!$C$32/Допущения!$C$31)</f>
        <v>17100000</v>
      </c>
      <c r="Z23" s="40">
        <f>Z12*(Допущения!$C$32/Допущения!$C$31)</f>
        <v>17100000</v>
      </c>
      <c r="AA23" s="40">
        <f>AA12*(Допущения!$C$32/Допущения!$C$42)</f>
        <v>28500000</v>
      </c>
      <c r="AB23" s="40">
        <f>AB12*(Допущения!$C$32/Допущения!$C$42)</f>
        <v>28500000</v>
      </c>
      <c r="AC23" s="40">
        <f>AC12*(Допущения!$C$32/Допущения!$C$42)</f>
        <v>28500000</v>
      </c>
    </row>
    <row r="24" spans="1:30" ht="15" customHeight="1" x14ac:dyDescent="0.3">
      <c r="A24" s="2" t="s">
        <v>139</v>
      </c>
      <c r="B24" s="40">
        <f>B12*(Допущения!$C$34/Допущения!$C$31)</f>
        <v>0</v>
      </c>
      <c r="C24" s="40">
        <f>C12*(Допущения!$C$34/Допущения!$C$31)</f>
        <v>0</v>
      </c>
      <c r="D24" s="40">
        <f>D12*(Допущения!$C$34/Допущения!$C$31)</f>
        <v>2850000</v>
      </c>
      <c r="E24" s="40">
        <f>E12*(Допущения!$C$34/Допущения!$C$31)</f>
        <v>2850000</v>
      </c>
      <c r="F24" s="40">
        <f>F12*(Допущения!$C$34/Допущения!$C$31)</f>
        <v>5700000</v>
      </c>
      <c r="G24" s="40">
        <f>G12*(Допущения!$C$34/Допущения!$C$31)</f>
        <v>5700000</v>
      </c>
      <c r="H24" s="40">
        <f>H12*(Допущения!$C$34/Допущения!$C$31)</f>
        <v>8550000</v>
      </c>
      <c r="I24" s="40">
        <f>I12*(Допущения!$C$34/Допущения!$C$31)</f>
        <v>8550000</v>
      </c>
      <c r="J24" s="40">
        <f>J12*(Допущения!$C$34/Допущения!$C$31)</f>
        <v>11400000</v>
      </c>
      <c r="K24" s="40">
        <f>K12*(Допущения!$C$34/Допущения!$C$31)</f>
        <v>11400000</v>
      </c>
      <c r="L24" s="40">
        <f>L12*(Допущения!$C$34/Допущения!$C$31)</f>
        <v>14250000</v>
      </c>
      <c r="M24" s="40">
        <f>M12*(Допущения!$C$34/Допущения!$C$31)</f>
        <v>14250000</v>
      </c>
      <c r="N24" s="40">
        <f>N12*(Допущения!$C$34/Допущения!$C$31)</f>
        <v>17100000</v>
      </c>
      <c r="O24" s="40">
        <f>O12*(Допущения!$C$34/Допущения!$C$31)</f>
        <v>17100000</v>
      </c>
      <c r="P24" s="40">
        <f>P12*(Допущения!$C$34/Допущения!$C$31)</f>
        <v>17100000</v>
      </c>
      <c r="Q24" s="40">
        <f>Q12*(Допущения!$C$34/Допущения!$C$31)</f>
        <v>17100000</v>
      </c>
      <c r="R24" s="40">
        <f>R12*(Допущения!$C$34/Допущения!$C$31)</f>
        <v>17100000</v>
      </c>
      <c r="S24" s="40">
        <f>S12*(Допущения!$C$34/Допущения!$C$31)</f>
        <v>17100000</v>
      </c>
      <c r="T24" s="40">
        <f>T12*(Допущения!$C$34/Допущения!$C$31)</f>
        <v>17100000</v>
      </c>
      <c r="U24" s="40">
        <f>U12*(Допущения!$C$34/Допущения!$C$31)</f>
        <v>17100000</v>
      </c>
      <c r="V24" s="40">
        <f>V12*(Допущения!$C$34/Допущения!$C$31)</f>
        <v>17100000</v>
      </c>
      <c r="W24" s="40">
        <f>W12*(Допущения!$C$34/Допущения!$C$31)</f>
        <v>17100000</v>
      </c>
      <c r="X24" s="40">
        <f>X12*(Допущения!$C$34/Допущения!$C$31)</f>
        <v>17100000</v>
      </c>
      <c r="Y24" s="40">
        <f>Y12*(Допущения!$C$34/Допущения!$C$31)</f>
        <v>17100000</v>
      </c>
      <c r="Z24" s="40">
        <f>Z12*(Допущения!$C$34/Допущения!$C$31)</f>
        <v>17100000</v>
      </c>
      <c r="AA24" s="40">
        <f>AA12*(Допущения!$C$34/Допущения!$C$42)</f>
        <v>28500000</v>
      </c>
      <c r="AB24" s="40">
        <f>AB12*(Допущения!$C$34/Допущения!$C$42)</f>
        <v>28500000</v>
      </c>
      <c r="AC24" s="40">
        <f>AC12*(Допущения!$C$34/Допущения!$C$42)</f>
        <v>28500000</v>
      </c>
    </row>
    <row r="25" spans="1:30" ht="15" customHeight="1" x14ac:dyDescent="0.3">
      <c r="A25" s="2" t="s">
        <v>140</v>
      </c>
      <c r="B25" s="40">
        <v>0</v>
      </c>
      <c r="C25" s="40">
        <f t="shared" ref="C25:AC25" si="6">C22+C23-C24</f>
        <v>0</v>
      </c>
      <c r="D25" s="40">
        <f t="shared" si="6"/>
        <v>4500000</v>
      </c>
      <c r="E25" s="40">
        <f t="shared" si="6"/>
        <v>4500000</v>
      </c>
      <c r="F25" s="40">
        <f t="shared" si="6"/>
        <v>9000000</v>
      </c>
      <c r="G25" s="40">
        <f t="shared" si="6"/>
        <v>9000000</v>
      </c>
      <c r="H25" s="40">
        <f t="shared" si="6"/>
        <v>13500000</v>
      </c>
      <c r="I25" s="40">
        <f t="shared" si="6"/>
        <v>13500000</v>
      </c>
      <c r="J25" s="40">
        <f t="shared" si="6"/>
        <v>18000000</v>
      </c>
      <c r="K25" s="40">
        <f t="shared" si="6"/>
        <v>18000000</v>
      </c>
      <c r="L25" s="40">
        <f t="shared" si="6"/>
        <v>22500000</v>
      </c>
      <c r="M25" s="40">
        <f t="shared" si="6"/>
        <v>22500000</v>
      </c>
      <c r="N25" s="40">
        <f t="shared" si="6"/>
        <v>27000000</v>
      </c>
      <c r="O25" s="40">
        <f t="shared" si="6"/>
        <v>27000000</v>
      </c>
      <c r="P25" s="40">
        <f t="shared" si="6"/>
        <v>27000000</v>
      </c>
      <c r="Q25" s="40">
        <f t="shared" si="6"/>
        <v>27000000</v>
      </c>
      <c r="R25" s="40">
        <f t="shared" si="6"/>
        <v>27000000</v>
      </c>
      <c r="S25" s="40">
        <f t="shared" si="6"/>
        <v>27000000</v>
      </c>
      <c r="T25" s="40">
        <f t="shared" si="6"/>
        <v>27000000</v>
      </c>
      <c r="U25" s="40">
        <f t="shared" si="6"/>
        <v>27000000</v>
      </c>
      <c r="V25" s="40">
        <f t="shared" si="6"/>
        <v>27000000</v>
      </c>
      <c r="W25" s="40">
        <f t="shared" si="6"/>
        <v>27000000</v>
      </c>
      <c r="X25" s="40">
        <f t="shared" si="6"/>
        <v>27000000</v>
      </c>
      <c r="Y25" s="40">
        <f t="shared" si="6"/>
        <v>27000000</v>
      </c>
      <c r="Z25" s="40">
        <f t="shared" si="6"/>
        <v>27000000</v>
      </c>
      <c r="AA25" s="40">
        <f t="shared" si="6"/>
        <v>45000000</v>
      </c>
      <c r="AB25" s="40">
        <f t="shared" si="6"/>
        <v>45000000</v>
      </c>
      <c r="AC25" s="40">
        <f t="shared" si="6"/>
        <v>47250000</v>
      </c>
    </row>
    <row r="26" spans="1:30" ht="15" customHeight="1" x14ac:dyDescent="0.3">
      <c r="A26" s="2" t="s">
        <v>141</v>
      </c>
      <c r="B26" s="40"/>
      <c r="C26" s="40">
        <f t="shared" ref="C26:AC26" si="7">C25-B25</f>
        <v>0</v>
      </c>
      <c r="D26" s="40">
        <f t="shared" si="7"/>
        <v>4500000</v>
      </c>
      <c r="E26" s="40">
        <f t="shared" si="7"/>
        <v>0</v>
      </c>
      <c r="F26" s="40">
        <f t="shared" si="7"/>
        <v>4500000</v>
      </c>
      <c r="G26" s="40">
        <f t="shared" si="7"/>
        <v>0</v>
      </c>
      <c r="H26" s="40">
        <f t="shared" si="7"/>
        <v>4500000</v>
      </c>
      <c r="I26" s="40">
        <f t="shared" si="7"/>
        <v>0</v>
      </c>
      <c r="J26" s="40">
        <f t="shared" si="7"/>
        <v>4500000</v>
      </c>
      <c r="K26" s="40">
        <f t="shared" si="7"/>
        <v>0</v>
      </c>
      <c r="L26" s="40">
        <f t="shared" si="7"/>
        <v>4500000</v>
      </c>
      <c r="M26" s="40">
        <f t="shared" si="7"/>
        <v>0</v>
      </c>
      <c r="N26" s="40">
        <f t="shared" si="7"/>
        <v>4500000</v>
      </c>
      <c r="O26" s="40">
        <f t="shared" si="7"/>
        <v>0</v>
      </c>
      <c r="P26" s="40">
        <f t="shared" si="7"/>
        <v>0</v>
      </c>
      <c r="Q26" s="40">
        <f t="shared" si="7"/>
        <v>0</v>
      </c>
      <c r="R26" s="40">
        <f t="shared" si="7"/>
        <v>0</v>
      </c>
      <c r="S26" s="40">
        <f t="shared" si="7"/>
        <v>0</v>
      </c>
      <c r="T26" s="40">
        <f t="shared" si="7"/>
        <v>0</v>
      </c>
      <c r="U26" s="40">
        <f t="shared" si="7"/>
        <v>0</v>
      </c>
      <c r="V26" s="40">
        <f t="shared" si="7"/>
        <v>0</v>
      </c>
      <c r="W26" s="40">
        <f t="shared" si="7"/>
        <v>0</v>
      </c>
      <c r="X26" s="40">
        <f t="shared" si="7"/>
        <v>0</v>
      </c>
      <c r="Y26" s="40">
        <f t="shared" si="7"/>
        <v>0</v>
      </c>
      <c r="Z26" s="40">
        <f t="shared" si="7"/>
        <v>0</v>
      </c>
      <c r="AA26" s="40">
        <f t="shared" si="7"/>
        <v>18000000</v>
      </c>
      <c r="AB26" s="40">
        <f t="shared" si="7"/>
        <v>0</v>
      </c>
      <c r="AC26" s="40">
        <f t="shared" si="7"/>
        <v>2250000</v>
      </c>
    </row>
    <row r="27" spans="1:30" ht="15" customHeight="1" x14ac:dyDescent="0.3">
      <c r="A27" s="2" t="s">
        <v>142</v>
      </c>
      <c r="B27" s="40">
        <f t="shared" ref="B27:AC27" si="8">B19+B20-B21-B26</f>
        <v>-40000000</v>
      </c>
      <c r="C27" s="40">
        <f t="shared" si="8"/>
        <v>-3999999.9999999995</v>
      </c>
      <c r="D27" s="40">
        <f t="shared" si="8"/>
        <v>-7400000</v>
      </c>
      <c r="E27" s="40">
        <f t="shared" si="8"/>
        <v>-2900000</v>
      </c>
      <c r="F27" s="40">
        <f t="shared" si="8"/>
        <v>-6300000</v>
      </c>
      <c r="G27" s="40">
        <f t="shared" si="8"/>
        <v>-1800000</v>
      </c>
      <c r="H27" s="40">
        <f t="shared" si="8"/>
        <v>-5200000</v>
      </c>
      <c r="I27" s="40">
        <f t="shared" si="8"/>
        <v>-700000</v>
      </c>
      <c r="J27" s="40">
        <f t="shared" si="8"/>
        <v>-4100000</v>
      </c>
      <c r="K27" s="40">
        <f t="shared" si="8"/>
        <v>400000</v>
      </c>
      <c r="L27" s="40">
        <f t="shared" si="8"/>
        <v>-3204761.9047619049</v>
      </c>
      <c r="M27" s="40">
        <f t="shared" si="8"/>
        <v>1295238.0952380951</v>
      </c>
      <c r="N27" s="40">
        <f t="shared" si="8"/>
        <v>-2324761.9047619049</v>
      </c>
      <c r="O27" s="40">
        <f t="shared" si="8"/>
        <v>2175238.0952380951</v>
      </c>
      <c r="P27" s="40">
        <f t="shared" si="8"/>
        <v>2175238.0952380951</v>
      </c>
      <c r="Q27" s="40">
        <f t="shared" si="8"/>
        <v>2175238.0952380951</v>
      </c>
      <c r="R27" s="40">
        <f t="shared" si="8"/>
        <v>2175238.0952380951</v>
      </c>
      <c r="S27" s="40">
        <f t="shared" si="8"/>
        <v>2175238.0952380951</v>
      </c>
      <c r="T27" s="40">
        <f t="shared" si="8"/>
        <v>2175238.0952380951</v>
      </c>
      <c r="U27" s="40">
        <f t="shared" si="8"/>
        <v>2175238.0952380951</v>
      </c>
      <c r="V27" s="40">
        <f t="shared" si="8"/>
        <v>2175238.0952380951</v>
      </c>
      <c r="W27" s="40">
        <f t="shared" si="8"/>
        <v>2175238.0952380951</v>
      </c>
      <c r="X27" s="40">
        <f t="shared" si="8"/>
        <v>2175238.0952380951</v>
      </c>
      <c r="Y27" s="40">
        <f t="shared" si="8"/>
        <v>2175238.0952380951</v>
      </c>
      <c r="Z27" s="40">
        <f t="shared" si="8"/>
        <v>2175238.0952380951</v>
      </c>
      <c r="AA27" s="40">
        <f t="shared" si="8"/>
        <v>10640000</v>
      </c>
      <c r="AB27" s="40">
        <f t="shared" si="8"/>
        <v>58640000</v>
      </c>
      <c r="AC27" s="40">
        <f t="shared" si="8"/>
        <v>70790000</v>
      </c>
      <c r="AD27" s="40"/>
    </row>
    <row r="28" spans="1:30" ht="15" customHeight="1" x14ac:dyDescent="0.3">
      <c r="A28" s="2" t="s">
        <v>143</v>
      </c>
      <c r="B28" s="41">
        <v>1</v>
      </c>
      <c r="C28" s="41">
        <f>1/(1+Допущения!C8)^1</f>
        <v>0.98492137526088874</v>
      </c>
      <c r="D28" s="41">
        <f>1/(1+Допущения!C8)^2</f>
        <v>0.97007011544580046</v>
      </c>
      <c r="E28" s="41">
        <f>1/(1+Допущения!C8)^3</f>
        <v>0.95544279220436701</v>
      </c>
      <c r="F28" s="41">
        <f>1/(1+Допущения!C8)^4</f>
        <v>0.94103602888102866</v>
      </c>
      <c r="G28" s="41">
        <f>1/(1+Допущения!C8)^5</f>
        <v>0.926846499735548</v>
      </c>
      <c r="H28" s="41">
        <f>1/(1+Допущения!C8)^6</f>
        <v>0.9128709291752769</v>
      </c>
      <c r="I28" s="41">
        <f>1/(1+Допущения!C8)^7</f>
        <v>0.89910609099899941</v>
      </c>
      <c r="J28" s="41">
        <f>1/(1+Допущения!C8)^8</f>
        <v>0.88554880765217614</v>
      </c>
      <c r="K28" s="41">
        <f>1/(1+Допущения!C8)^9</f>
        <v>0.8721959494934215</v>
      </c>
      <c r="L28" s="41">
        <f>1/(1+Допущения!C8)^10</f>
        <v>0.85904443407203745</v>
      </c>
      <c r="M28" s="41">
        <f>1/(1+Допущения!C8)^11</f>
        <v>0.84609122541644299</v>
      </c>
      <c r="N28" s="41">
        <f>1/(1+Допущения!C8)^12</f>
        <v>0.8333333333333337</v>
      </c>
      <c r="O28" s="41">
        <f>1/(1+Допущения!C8)^13</f>
        <v>0.82076781271740762</v>
      </c>
      <c r="P28" s="41">
        <f>1/(1+Допущения!C8)^14</f>
        <v>0.80839176287150061</v>
      </c>
      <c r="Q28" s="41">
        <f>1/(1+Допущения!C8)^15</f>
        <v>0.79620232683697278</v>
      </c>
      <c r="R28" s="41">
        <f>1/(1+Допущения!C8)^16</f>
        <v>0.78419669073419085</v>
      </c>
      <c r="S28" s="41">
        <f>1/(1+Допущения!C8)^17</f>
        <v>0.77237208311295702</v>
      </c>
      <c r="T28" s="41">
        <f>1/(1+Допущения!C8)^18</f>
        <v>0.76072577431273103</v>
      </c>
      <c r="U28" s="41">
        <f>1/(1+Допущения!C8)^19</f>
        <v>0.74925507583249973</v>
      </c>
      <c r="V28" s="41">
        <f>1/(1+Допущения!C8)^20</f>
        <v>0.7379573397101471</v>
      </c>
      <c r="W28" s="41">
        <f>1/(1+Допущения!C8)^21</f>
        <v>0.72682995791118477</v>
      </c>
      <c r="X28" s="41">
        <f>1/(1+Допущения!C8)^22</f>
        <v>0.71587036172669805</v>
      </c>
      <c r="Y28" s="41">
        <f>1/(1+Допущения!C8)^23</f>
        <v>0.70507602118036949</v>
      </c>
      <c r="Z28" s="41">
        <f>1/(1+Допущения!C8)^24</f>
        <v>0.69444444444444497</v>
      </c>
      <c r="AA28" s="41">
        <f>1/(1+Допущения!C7)^3</f>
        <v>0.57870370370370372</v>
      </c>
      <c r="AB28" s="41">
        <f>1/(1+Допущения!C7)^4</f>
        <v>0.48225308641975312</v>
      </c>
      <c r="AC28" s="41">
        <f>1/(1+Допущения!C7)^5</f>
        <v>0.4018775720164609</v>
      </c>
    </row>
    <row r="29" spans="1:30" ht="15" customHeight="1" x14ac:dyDescent="0.3">
      <c r="A29" s="2" t="s">
        <v>144</v>
      </c>
      <c r="B29" s="40">
        <f t="shared" ref="B29:AC29" si="9">B27*B28</f>
        <v>-40000000</v>
      </c>
      <c r="C29" s="40">
        <f t="shared" si="9"/>
        <v>-3939685.5010435544</v>
      </c>
      <c r="D29" s="40">
        <f t="shared" si="9"/>
        <v>-7178518.8542989232</v>
      </c>
      <c r="E29" s="40">
        <f t="shared" si="9"/>
        <v>-2770784.0973926643</v>
      </c>
      <c r="F29" s="40">
        <f t="shared" si="9"/>
        <v>-5928526.9819504805</v>
      </c>
      <c r="G29" s="40">
        <f t="shared" si="9"/>
        <v>-1668323.6995239863</v>
      </c>
      <c r="H29" s="40">
        <f t="shared" si="9"/>
        <v>-4746928.8317114403</v>
      </c>
      <c r="I29" s="40">
        <f t="shared" si="9"/>
        <v>-629374.26369929954</v>
      </c>
      <c r="J29" s="40">
        <f t="shared" si="9"/>
        <v>-3630750.1113739223</v>
      </c>
      <c r="K29" s="40">
        <f t="shared" si="9"/>
        <v>348878.3797973686</v>
      </c>
      <c r="L29" s="40">
        <f t="shared" si="9"/>
        <v>-2753032.8768118154</v>
      </c>
      <c r="M29" s="40">
        <f t="shared" si="9"/>
        <v>1095889.5872060594</v>
      </c>
      <c r="N29" s="40">
        <f t="shared" si="9"/>
        <v>-1937301.5873015882</v>
      </c>
      <c r="O29" s="40">
        <f t="shared" si="9"/>
        <v>1785365.4135681514</v>
      </c>
      <c r="P29" s="40">
        <f t="shared" si="9"/>
        <v>1758444.5584747689</v>
      </c>
      <c r="Q29" s="40">
        <f t="shared" si="9"/>
        <v>1731929.632852996</v>
      </c>
      <c r="R29" s="40">
        <f t="shared" si="9"/>
        <v>1705814.5158446589</v>
      </c>
      <c r="S29" s="40">
        <f t="shared" si="9"/>
        <v>1680093.1788857083</v>
      </c>
      <c r="T29" s="40">
        <f t="shared" si="9"/>
        <v>1654759.6843145501</v>
      </c>
      <c r="U29" s="40">
        <f t="shared" si="9"/>
        <v>1629808.1840013613</v>
      </c>
      <c r="V29" s="40">
        <f t="shared" si="9"/>
        <v>1605232.9179980722</v>
      </c>
      <c r="W29" s="40">
        <f t="shared" si="9"/>
        <v>1581028.2132087103</v>
      </c>
      <c r="X29" s="40">
        <f t="shared" si="9"/>
        <v>1557188.4820797888</v>
      </c>
      <c r="Y29" s="40">
        <f t="shared" si="9"/>
        <v>1533708.2213104418</v>
      </c>
      <c r="Z29" s="40">
        <f t="shared" si="9"/>
        <v>1510582.0105820117</v>
      </c>
      <c r="AA29" s="40">
        <f t="shared" si="9"/>
        <v>6157407.4074074076</v>
      </c>
      <c r="AB29" s="40">
        <f t="shared" si="9"/>
        <v>28279320.987654325</v>
      </c>
      <c r="AC29" s="40">
        <f t="shared" si="9"/>
        <v>28448913.323045269</v>
      </c>
    </row>
    <row r="30" spans="1:30" ht="15" customHeight="1" x14ac:dyDescent="0.3">
      <c r="A30" s="2" t="s">
        <v>145</v>
      </c>
      <c r="B30" s="40">
        <f>B27</f>
        <v>-40000000</v>
      </c>
      <c r="C30" s="40">
        <f t="shared" ref="C30:AC30" si="10">B30+C27</f>
        <v>-44000000</v>
      </c>
      <c r="D30" s="40">
        <f t="shared" si="10"/>
        <v>-51400000</v>
      </c>
      <c r="E30" s="40">
        <f t="shared" si="10"/>
        <v>-54300000</v>
      </c>
      <c r="F30" s="40">
        <f t="shared" si="10"/>
        <v>-60600000</v>
      </c>
      <c r="G30" s="40">
        <f t="shared" si="10"/>
        <v>-62400000</v>
      </c>
      <c r="H30" s="40">
        <f t="shared" si="10"/>
        <v>-67600000</v>
      </c>
      <c r="I30" s="40">
        <f t="shared" si="10"/>
        <v>-68300000</v>
      </c>
      <c r="J30" s="40">
        <f t="shared" si="10"/>
        <v>-72400000</v>
      </c>
      <c r="K30" s="40">
        <f t="shared" si="10"/>
        <v>-72000000</v>
      </c>
      <c r="L30" s="40">
        <f t="shared" si="10"/>
        <v>-75204761.90476191</v>
      </c>
      <c r="M30" s="40">
        <f t="shared" si="10"/>
        <v>-73909523.809523821</v>
      </c>
      <c r="N30" s="40">
        <f t="shared" si="10"/>
        <v>-76234285.714285731</v>
      </c>
      <c r="O30" s="40">
        <f t="shared" si="10"/>
        <v>-74059047.619047642</v>
      </c>
      <c r="P30" s="40">
        <f t="shared" si="10"/>
        <v>-71883809.523809552</v>
      </c>
      <c r="Q30" s="40">
        <f t="shared" si="10"/>
        <v>-69708571.428571463</v>
      </c>
      <c r="R30" s="40">
        <f t="shared" si="10"/>
        <v>-67533333.333333373</v>
      </c>
      <c r="S30" s="40">
        <f t="shared" si="10"/>
        <v>-65358095.238095276</v>
      </c>
      <c r="T30" s="40">
        <f t="shared" si="10"/>
        <v>-63182857.142857179</v>
      </c>
      <c r="U30" s="40">
        <f t="shared" si="10"/>
        <v>-61007619.047619082</v>
      </c>
      <c r="V30" s="40">
        <f t="shared" si="10"/>
        <v>-58832380.952380985</v>
      </c>
      <c r="W30" s="40">
        <f t="shared" si="10"/>
        <v>-56657142.857142888</v>
      </c>
      <c r="X30" s="40">
        <f t="shared" si="10"/>
        <v>-54481904.761904791</v>
      </c>
      <c r="Y30" s="40">
        <f t="shared" si="10"/>
        <v>-52306666.666666694</v>
      </c>
      <c r="Z30" s="40">
        <f t="shared" si="10"/>
        <v>-50131428.571428597</v>
      </c>
      <c r="AA30" s="40">
        <f t="shared" si="10"/>
        <v>-39491428.571428597</v>
      </c>
      <c r="AB30" s="40">
        <f t="shared" si="10"/>
        <v>19148571.428571403</v>
      </c>
      <c r="AC30" s="40">
        <f t="shared" si="10"/>
        <v>89938571.428571403</v>
      </c>
    </row>
    <row r="31" spans="1:30" ht="15" customHeight="1" x14ac:dyDescent="0.3">
      <c r="A31" s="2" t="s">
        <v>146</v>
      </c>
      <c r="B31" s="40">
        <f>B29</f>
        <v>-40000000</v>
      </c>
      <c r="C31" s="40">
        <f t="shared" ref="C31:AC31" si="11">B31+C29</f>
        <v>-43939685.501043558</v>
      </c>
      <c r="D31" s="40">
        <f t="shared" si="11"/>
        <v>-51118204.355342478</v>
      </c>
      <c r="E31" s="40">
        <f t="shared" si="11"/>
        <v>-53888988.452735141</v>
      </c>
      <c r="F31" s="40">
        <f t="shared" si="11"/>
        <v>-59817515.434685618</v>
      </c>
      <c r="G31" s="40">
        <f t="shared" si="11"/>
        <v>-61485839.134209603</v>
      </c>
      <c r="H31" s="40">
        <f t="shared" si="11"/>
        <v>-66232767.965921044</v>
      </c>
      <c r="I31" s="40">
        <f t="shared" si="11"/>
        <v>-66862142.229620345</v>
      </c>
      <c r="J31" s="40">
        <f t="shared" si="11"/>
        <v>-70492892.340994269</v>
      </c>
      <c r="K31" s="40">
        <f t="shared" si="11"/>
        <v>-70144013.961196899</v>
      </c>
      <c r="L31" s="40">
        <f t="shared" si="11"/>
        <v>-72897046.838008717</v>
      </c>
      <c r="M31" s="40">
        <f t="shared" si="11"/>
        <v>-71801157.250802651</v>
      </c>
      <c r="N31" s="40">
        <f t="shared" si="11"/>
        <v>-73738458.838104233</v>
      </c>
      <c r="O31" s="40">
        <f t="shared" si="11"/>
        <v>-71953093.424536079</v>
      </c>
      <c r="P31" s="40">
        <f t="shared" si="11"/>
        <v>-70194648.866061315</v>
      </c>
      <c r="Q31" s="40">
        <f t="shared" si="11"/>
        <v>-68462719.233208314</v>
      </c>
      <c r="R31" s="40">
        <f t="shared" si="11"/>
        <v>-66756904.717363656</v>
      </c>
      <c r="S31" s="40">
        <f t="shared" si="11"/>
        <v>-65076811.53847795</v>
      </c>
      <c r="T31" s="40">
        <f t="shared" si="11"/>
        <v>-63422051.854163401</v>
      </c>
      <c r="U31" s="40">
        <f t="shared" si="11"/>
        <v>-61792243.670162037</v>
      </c>
      <c r="V31" s="40">
        <f t="shared" si="11"/>
        <v>-60187010.752163962</v>
      </c>
      <c r="W31" s="40">
        <f t="shared" si="11"/>
        <v>-58605982.538955249</v>
      </c>
      <c r="X31" s="40">
        <f t="shared" si="11"/>
        <v>-57048794.05687546</v>
      </c>
      <c r="Y31" s="40">
        <f t="shared" si="11"/>
        <v>-55515085.835565016</v>
      </c>
      <c r="Z31" s="40">
        <f t="shared" si="11"/>
        <v>-54004503.824983001</v>
      </c>
      <c r="AA31" s="40">
        <f t="shared" si="11"/>
        <v>-47847096.41757559</v>
      </c>
      <c r="AB31" s="40">
        <f t="shared" si="11"/>
        <v>-19567775.429921266</v>
      </c>
      <c r="AC31" s="40">
        <f t="shared" si="11"/>
        <v>8881137.893124003</v>
      </c>
    </row>
    <row r="32" spans="1:30" ht="14.25" customHeight="1" x14ac:dyDescent="0.3">
      <c r="A32" s="2" t="s">
        <v>147</v>
      </c>
      <c r="B32" s="38">
        <f>AC31</f>
        <v>8881137.893124003</v>
      </c>
    </row>
    <row r="34" spans="1:29" ht="15" hidden="1" customHeight="1" x14ac:dyDescent="0.3">
      <c r="A34" s="42" t="s">
        <v>148</v>
      </c>
    </row>
    <row r="35" spans="1:29" ht="15" hidden="1" customHeight="1" x14ac:dyDescent="0.3">
      <c r="A35" s="43" t="s">
        <v>149</v>
      </c>
      <c r="B35" s="44">
        <f>(B6-B6)/365.25</f>
        <v>0</v>
      </c>
      <c r="C35" s="44">
        <f>(C6-B6)/365.25</f>
        <v>8.2135523613963035E-2</v>
      </c>
      <c r="D35" s="44">
        <f>(D6-B6)/365.25</f>
        <v>0.16700889801505817</v>
      </c>
      <c r="E35" s="44">
        <f>(E6-B6)/365.25</f>
        <v>0.24914442162902123</v>
      </c>
      <c r="F35" s="44">
        <f>(F6-B6)/365.25</f>
        <v>0.33401779603011633</v>
      </c>
      <c r="G35" s="44">
        <f>(G6-B6)/365.25</f>
        <v>0.41889117043121149</v>
      </c>
      <c r="H35" s="44">
        <f>(H6-B6)/365.25</f>
        <v>0.49555099247091033</v>
      </c>
      <c r="I35" s="44">
        <f>(I6-B6)/365.25</f>
        <v>0.58042436687200549</v>
      </c>
      <c r="J35" s="44">
        <f>(J6-B6)/365.25</f>
        <v>0.66255989048596853</v>
      </c>
      <c r="K35" s="44">
        <f>(K6-B6)/365.25</f>
        <v>0.74743326488706363</v>
      </c>
      <c r="L35" s="44">
        <f>(L6-B6)/365.25</f>
        <v>0.82956878850102667</v>
      </c>
      <c r="M35" s="44">
        <f>(M6-B6)/365.25</f>
        <v>0.91444216290212188</v>
      </c>
      <c r="N35" s="44">
        <f>(N6-B6)/365.25</f>
        <v>0.99931553730321698</v>
      </c>
      <c r="O35" s="44">
        <f>(O6-B6)/365.25</f>
        <v>1.0814510609171799</v>
      </c>
      <c r="P35" s="44">
        <f>(P6-B6)/365.25</f>
        <v>1.1663244353182751</v>
      </c>
      <c r="Q35" s="44">
        <f>(Q6-B6)/365.25</f>
        <v>1.2484599589322383</v>
      </c>
      <c r="R35" s="44">
        <f>(R6-B6)/365.25</f>
        <v>1.3333333333333333</v>
      </c>
      <c r="S35" s="44">
        <f>(S6-B6)/365.25</f>
        <v>1.4182067077344285</v>
      </c>
      <c r="T35" s="44">
        <f>(T6-B6)/365.25</f>
        <v>1.4976043805612593</v>
      </c>
      <c r="U35" s="44">
        <f>(U6-B6)/365.25</f>
        <v>1.5824777549623545</v>
      </c>
      <c r="V35" s="44">
        <f>(V6-B6)/365.25</f>
        <v>1.6646132785763177</v>
      </c>
      <c r="W35" s="44">
        <f>(W6-B6)/365.25</f>
        <v>1.7494866529774127</v>
      </c>
      <c r="X35" s="44">
        <f>(X6-B6)/365.25</f>
        <v>1.8316221765913758</v>
      </c>
      <c r="Y35" s="44">
        <f>(Y6-B6)/365.25</f>
        <v>1.9164955509924708</v>
      </c>
      <c r="Z35" s="44">
        <f>(Z6-B6)/365.25</f>
        <v>2.001368925393566</v>
      </c>
      <c r="AA35" s="44">
        <f>(AA6-B6)/365.25</f>
        <v>3.0006844626967832</v>
      </c>
      <c r="AB35" s="44">
        <f>(AB6-B6)/365.25</f>
        <v>4</v>
      </c>
      <c r="AC35" s="44">
        <f>(AC6-B6)/365.25</f>
        <v>4.9993155373032172</v>
      </c>
    </row>
    <row r="36" spans="1:29" ht="15" hidden="1" customHeight="1" x14ac:dyDescent="0.3"/>
    <row r="37" spans="1:29" ht="15" hidden="1" customHeight="1" x14ac:dyDescent="0.3">
      <c r="A37" s="43" t="s">
        <v>150</v>
      </c>
      <c r="B37" s="45">
        <v>0</v>
      </c>
      <c r="C37" s="45">
        <v>0.01</v>
      </c>
      <c r="D37" s="45">
        <v>0.02</v>
      </c>
      <c r="E37" s="45">
        <v>0.03</v>
      </c>
      <c r="F37" s="45">
        <v>0.04</v>
      </c>
      <c r="G37" s="45">
        <v>0.05</v>
      </c>
      <c r="H37" s="45">
        <v>0.06</v>
      </c>
      <c r="I37" s="45">
        <v>7.0000000000000007E-2</v>
      </c>
      <c r="J37" s="45">
        <v>0.08</v>
      </c>
      <c r="K37" s="45">
        <v>0.09</v>
      </c>
      <c r="L37" s="45">
        <v>0.1</v>
      </c>
      <c r="M37" s="45">
        <v>0.11</v>
      </c>
      <c r="N37" s="45">
        <v>0.12</v>
      </c>
      <c r="O37" s="45">
        <v>0.13</v>
      </c>
      <c r="P37" s="45">
        <v>0.14000000000000001</v>
      </c>
      <c r="Q37" s="45">
        <v>0.15</v>
      </c>
      <c r="R37" s="45">
        <v>0.16</v>
      </c>
      <c r="S37" s="45">
        <v>0.17</v>
      </c>
      <c r="T37" s="45">
        <v>0.18</v>
      </c>
      <c r="U37" s="45">
        <v>0.19</v>
      </c>
      <c r="V37" s="45">
        <v>0.2</v>
      </c>
      <c r="W37" s="45">
        <v>0.21</v>
      </c>
      <c r="X37" s="45">
        <v>0.22</v>
      </c>
      <c r="Y37" s="45">
        <v>0.23</v>
      </c>
      <c r="Z37" s="45">
        <v>0.24</v>
      </c>
      <c r="AA37" s="45">
        <v>0.25</v>
      </c>
      <c r="AB37" s="45">
        <v>0.26</v>
      </c>
      <c r="AC37" s="45">
        <v>0.27</v>
      </c>
    </row>
    <row r="38" spans="1:29" ht="15" hidden="1" customHeight="1" x14ac:dyDescent="0.3">
      <c r="A38" s="43" t="s">
        <v>151</v>
      </c>
      <c r="B38" s="46">
        <f>SUMPRODUCT(B27:AC27,(1+B37)^(-B35:AC35))</f>
        <v>89938571.428571403</v>
      </c>
      <c r="C38" s="46">
        <f>SUMPRODUCT(B27:AC27,(1+C37)^(-B35:AC35))</f>
        <v>83647432.279245257</v>
      </c>
      <c r="D38" s="46">
        <f>SUMPRODUCT(B27:AC27,(1+D37)^(-B35:AC35))</f>
        <v>77684988.300194681</v>
      </c>
      <c r="E38" s="46">
        <f>SUMPRODUCT(B27:AC27,(1+E37)^(-B35:AC35))</f>
        <v>72030808.42312324</v>
      </c>
      <c r="F38" s="46">
        <f>SUMPRODUCT(B27:AC27,(1+F37)^(-B35:AC35))</f>
        <v>66665925.827414453</v>
      </c>
      <c r="G38" s="46">
        <f>SUMPRODUCT(B27:AC27,(1+G37)^(-B35:AC35))</f>
        <v>61572719.60797555</v>
      </c>
      <c r="H38" s="46">
        <f>SUMPRODUCT(B27:AC27,(1+H37)^(-B35:AC35))</f>
        <v>56734807.054451801</v>
      </c>
      <c r="I38" s="46">
        <f>SUMPRODUCT(B27:AC27,(1+I37)^(-B35:AC35))</f>
        <v>52136945.498759896</v>
      </c>
      <c r="J38" s="46">
        <f>SUMPRODUCT(B27:AC27,(1+J37)^(-B35:AC35))</f>
        <v>47764942.79918918</v>
      </c>
      <c r="K38" s="46">
        <f>SUMPRODUCT(B27:AC27,(1+K37)^(-B35:AC35))</f>
        <v>43605575.627831265</v>
      </c>
      <c r="L38" s="46">
        <f>SUMPRODUCT(B27:AC27,(1+L37)^(-B35:AC35))</f>
        <v>39646514.815387242</v>
      </c>
      <c r="M38" s="46">
        <f>SUMPRODUCT(B27:AC27,(1+M37)^(-B35:AC35))</f>
        <v>35876257.0848426</v>
      </c>
      <c r="N38" s="46">
        <f>SUMPRODUCT(B27:AC27,(1+N37)^(-B35:AC35))</f>
        <v>32284062.574278548</v>
      </c>
      <c r="O38" s="46">
        <f>SUMPRODUCT(B27:AC27,(1+O37)^(-B35:AC35))</f>
        <v>28859897.610238254</v>
      </c>
      <c r="P38" s="46">
        <f>SUMPRODUCT(B27:AC27,(1+P37)^(-B35:AC35))</f>
        <v>25594382.247504011</v>
      </c>
      <c r="Q38" s="46">
        <f>SUMPRODUCT(B27:AC27,(1+Q37)^(-B35:AC35))</f>
        <v>22478742.139642257</v>
      </c>
      <c r="R38" s="46">
        <f>SUMPRODUCT(B27:AC27,(1+R37)^(-B35:AC35))</f>
        <v>19504764.34793992</v>
      </c>
      <c r="S38" s="46">
        <f>SUMPRODUCT(B27:AC27,(1+S37)^(-B35:AC35))</f>
        <v>16664756.734991595</v>
      </c>
      <c r="T38" s="46">
        <f>SUMPRODUCT(B27:AC27,(1+T37)^(-B35:AC35))</f>
        <v>13951510.623727098</v>
      </c>
      <c r="U38" s="46">
        <f>SUMPRODUCT(B27:AC27,(1+U37)^(-B35:AC35))</f>
        <v>11358266.433569174</v>
      </c>
      <c r="V38" s="46">
        <f>SUMPRODUCT(B27:AC27,(1+V37)^(-B35:AC35))</f>
        <v>8878682.0330832079</v>
      </c>
      <c r="W38" s="46">
        <f>SUMPRODUCT(B27:AC27,(1+W37)^(-B35:AC35))</f>
        <v>6506803.5732891001</v>
      </c>
      <c r="X38" s="46">
        <f>SUMPRODUCT(B27:AC27,(1+X37)^(-B35:AC35))</f>
        <v>4237038.5880686417</v>
      </c>
      <c r="Y38" s="46">
        <f>SUMPRODUCT(B27:AC27,(1+Y37)^(-B35:AC35))</f>
        <v>2064131.1680945605</v>
      </c>
      <c r="Z38" s="46">
        <f>SUMPRODUCT(B27:AC27,(1+Z37)^(-B35:AC35))</f>
        <v>-16860.967315003276</v>
      </c>
      <c r="AA38" s="46">
        <f>SUMPRODUCT(B27:AC27,(1+AA37)^(-B35:AC35))</f>
        <v>-2010587.6598394476</v>
      </c>
      <c r="AB38" s="46">
        <f>SUMPRODUCT(B27:AC27,(1+AB37)^(-B35:AC35))</f>
        <v>-3921425.908150889</v>
      </c>
      <c r="AC38" s="46">
        <f>SUMPRODUCT(B27:AC27,(1+AC37)^(-B35:AC35))</f>
        <v>-5753498.001985956</v>
      </c>
    </row>
    <row r="39" spans="1:29" ht="15" hidden="1" customHeight="1" x14ac:dyDescent="0.3">
      <c r="A39" s="43" t="s">
        <v>152</v>
      </c>
      <c r="B39" s="43">
        <f>SUMPRODUCT(--(B38:AC38&gt;=0))</f>
        <v>24</v>
      </c>
    </row>
    <row r="40" spans="1:29" ht="15" hidden="1" customHeight="1" x14ac:dyDescent="0.3">
      <c r="A40" s="42" t="s">
        <v>153</v>
      </c>
      <c r="B40" s="47">
        <f>INDEX(B37:AC37,B39)+(0-INDEX(B38:AC38,B39))/(INDEX(B38:AC38,B39+1)-INDEX(B38:AC38,B39))*(INDEX(B37:AC37,B39+1)-INDEX(B37:AC37,B39))</f>
        <v>0.23991897630448428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topLeftCell="A5" zoomScaleNormal="100" workbookViewId="0">
      <selection activeCell="C14" sqref="C14"/>
    </sheetView>
  </sheetViews>
  <sheetFormatPr defaultColWidth="8.6640625" defaultRowHeight="14.4" x14ac:dyDescent="0.3"/>
  <cols>
    <col min="1" max="1" width="34.6640625" style="2" customWidth="1"/>
    <col min="2" max="2" width="16.21875" style="2" bestFit="1" customWidth="1"/>
    <col min="3" max="7" width="15" style="2" customWidth="1"/>
    <col min="8" max="16384" width="8.6640625" style="2"/>
  </cols>
  <sheetData>
    <row r="1" spans="1:6" ht="17.25" customHeight="1" x14ac:dyDescent="0.35">
      <c r="A1" s="1" t="s">
        <v>154</v>
      </c>
    </row>
    <row r="2" spans="1:6" ht="24" customHeight="1" x14ac:dyDescent="0.3">
      <c r="A2" s="20" t="s">
        <v>155</v>
      </c>
    </row>
    <row r="4" spans="1:6" ht="15" customHeight="1" x14ac:dyDescent="0.3">
      <c r="A4" s="4" t="s">
        <v>156</v>
      </c>
      <c r="B4" s="11"/>
      <c r="C4" s="11"/>
      <c r="D4" s="11"/>
      <c r="E4" s="11"/>
      <c r="F4" s="11"/>
    </row>
    <row r="5" spans="1:6" ht="15" customHeight="1" x14ac:dyDescent="0.3">
      <c r="B5" s="13" t="s">
        <v>157</v>
      </c>
      <c r="C5" s="13" t="s">
        <v>88</v>
      </c>
      <c r="D5" s="13" t="s">
        <v>158</v>
      </c>
    </row>
    <row r="6" spans="1:6" ht="15" customHeight="1" x14ac:dyDescent="0.3">
      <c r="A6" s="2" t="s">
        <v>159</v>
      </c>
      <c r="B6" s="48">
        <v>0.7</v>
      </c>
      <c r="C6" s="49">
        <v>1</v>
      </c>
      <c r="D6" s="48">
        <v>1.3</v>
      </c>
    </row>
    <row r="7" spans="1:6" ht="15" customHeight="1" x14ac:dyDescent="0.3">
      <c r="A7" s="2" t="s">
        <v>160</v>
      </c>
      <c r="B7" s="48">
        <v>0.95</v>
      </c>
      <c r="C7" s="49">
        <v>1</v>
      </c>
      <c r="D7" s="48">
        <v>1.05</v>
      </c>
    </row>
    <row r="8" spans="1:6" ht="15" customHeight="1" x14ac:dyDescent="0.3">
      <c r="A8" s="2" t="s">
        <v>161</v>
      </c>
      <c r="B8" s="48">
        <v>1.1000000000000001</v>
      </c>
      <c r="C8" s="49">
        <v>1</v>
      </c>
      <c r="D8" s="48">
        <v>0.95</v>
      </c>
    </row>
    <row r="9" spans="1:6" ht="15" customHeight="1" x14ac:dyDescent="0.3">
      <c r="A9" s="2" t="s">
        <v>162</v>
      </c>
      <c r="B9" s="48">
        <v>1.05</v>
      </c>
      <c r="C9" s="49">
        <v>1</v>
      </c>
      <c r="D9" s="48">
        <v>1</v>
      </c>
    </row>
    <row r="11" spans="1:6" ht="15" customHeight="1" x14ac:dyDescent="0.3">
      <c r="A11" s="4" t="s">
        <v>163</v>
      </c>
      <c r="B11" s="11"/>
      <c r="C11" s="11"/>
      <c r="D11" s="11"/>
      <c r="E11" s="11"/>
      <c r="F11" s="11"/>
    </row>
    <row r="12" spans="1:6" ht="15" customHeight="1" x14ac:dyDescent="0.3">
      <c r="B12" s="50" t="s">
        <v>157</v>
      </c>
      <c r="C12" s="50" t="s">
        <v>88</v>
      </c>
      <c r="D12" s="50" t="s">
        <v>158</v>
      </c>
    </row>
    <row r="13" spans="1:6" ht="15" customHeight="1" x14ac:dyDescent="0.3">
      <c r="A13" s="2" t="s">
        <v>164</v>
      </c>
      <c r="B13" s="40">
        <f>(SUM(Модель!C10:N10))*B$6*B$7-(SUM(Модель!C12:N12))*B$6*B$8-(SUM(Модель!C14:N14))*B$9-(SUM(Модель!C15:N15))*B$9-(SUM(Модель!C16:N16))</f>
        <v>-36962285.714285716</v>
      </c>
      <c r="C13" s="40">
        <f>(SUM(Модель!C10:N10))*C$6*C$7-(SUM(Модель!C12:N12))*C$6*C$8-(SUM(Модель!C14:N14))*C$9-(SUM(Модель!C15:N15))*C$9-(SUM(Модель!C16:N16))</f>
        <v>-14114285.714285713</v>
      </c>
      <c r="D13" s="40">
        <f>(SUM(Модель!C10:N10))*D$6*D$7-(SUM(Модель!C12:N12))*D$6*D$8-(SUM(Модель!C14:N14))*D$9-(SUM(Модель!C15:N15))*D$9-(SUM(Модель!C16:N16))</f>
        <v>9231714.2857142873</v>
      </c>
    </row>
    <row r="14" spans="1:6" ht="15" customHeight="1" x14ac:dyDescent="0.3">
      <c r="A14" s="2" t="s">
        <v>165</v>
      </c>
      <c r="B14" s="40">
        <f>(SUM(Модель!O10:Z10))*B$6*B$7-(SUM(Модель!O12:Z12))*B$6*B$8-(SUM(Модель!O14:Z14))*B$9-(SUM(Модель!O15:Z15))*B$9-(SUM(Модель!O16:Z16))</f>
        <v>-17810285.714285728</v>
      </c>
      <c r="C14" s="40">
        <f>(SUM(Модель!O10:Z10))*C$6*C$7-(SUM(Модель!O12:Z12))*C$6*C$8-(SUM(Модель!O14:Z14))*C$9-(SUM(Модель!O15:Z15))*C$9-(SUM(Модель!O16:Z16))</f>
        <v>25485714.285714287</v>
      </c>
      <c r="D14" s="40">
        <f>(SUM(Модель!O10:Z10))*D$6*D$7-(SUM(Модель!O12:Z12))*D$6*D$8-(SUM(Модель!O14:Z14))*D$9-(SUM(Модель!O15:Z15))*D$9-(SUM(Модель!O16:Z16))</f>
        <v>72177714.285714284</v>
      </c>
    </row>
    <row r="15" spans="1:6" ht="15" customHeight="1" x14ac:dyDescent="0.3">
      <c r="A15" s="2" t="s">
        <v>118</v>
      </c>
      <c r="B15" s="40">
        <f>(SUM(Модель!AA10))*B$6*B$7-(SUM(Модель!AA12))*B$6*B$8-(SUM(Модель!AA14))*B$9-(SUM(Модель!AA15))*B$9-(SUM(Модель!AA16))</f>
        <v>-10420000.00000003</v>
      </c>
      <c r="C15" s="40">
        <f>(SUM(Модель!AA10))*C$6*C$7-(SUM(Модель!AA12))*C$6*C$8-(SUM(Модель!AA14))*C$9-(SUM(Модель!AA15))*C$9-(SUM(Модель!AA16))</f>
        <v>60800000</v>
      </c>
      <c r="D15" s="40">
        <f>(SUM(Модель!AA10))*D$6*D$7-(SUM(Модель!AA12))*D$6*D$8-(SUM(Модель!AA14))*D$9-(SUM(Модель!AA15))*D$9-(SUM(Модель!AA16))</f>
        <v>138620000</v>
      </c>
    </row>
    <row r="16" spans="1:6" ht="15" customHeight="1" x14ac:dyDescent="0.3">
      <c r="A16" s="2" t="s">
        <v>119</v>
      </c>
      <c r="B16" s="40">
        <f>(SUM(Модель!AB10))*B$6*B$7-(SUM(Модель!AB12))*B$6*B$8-(SUM(Модель!AB14))*B$9-(SUM(Модель!AB15))*B$9-(SUM(Модель!AB16))</f>
        <v>-10420000.00000003</v>
      </c>
      <c r="C16" s="40">
        <f>(SUM(Модель!AB10))*C$6*C$7-(SUM(Модель!AB12))*C$6*C$8-(SUM(Модель!AB14))*C$9-(SUM(Модель!AB15))*C$9-(SUM(Модель!AB16))</f>
        <v>60800000</v>
      </c>
      <c r="D16" s="40">
        <f>(SUM(Модель!AB10))*D$6*D$7-(SUM(Модель!AB12))*D$6*D$8-(SUM(Модель!AB14))*D$9-(SUM(Модель!AB15))*D$9-(SUM(Модель!AB16))</f>
        <v>138620000</v>
      </c>
    </row>
    <row r="17" spans="1:6" ht="15" customHeight="1" x14ac:dyDescent="0.3">
      <c r="A17" s="2" t="s">
        <v>120</v>
      </c>
      <c r="B17" s="40">
        <f>(SUM(Модель!AC10))*B$6*B$7-(SUM(Модель!AC12))*B$6*B$8-(SUM(Модель!AC14))*B$9-(SUM(Модель!AC15))*B$9-(SUM(Модель!AC16))</f>
        <v>1549999.9999999702</v>
      </c>
      <c r="C17" s="40">
        <f>(SUM(Модель!AC10))*C$6*C$7-(SUM(Модель!AC12))*C$6*C$8-(SUM(Модель!AC14))*C$9-(SUM(Модель!AC15))*C$9-(SUM(Модель!AC16))</f>
        <v>78800000</v>
      </c>
      <c r="D17" s="40">
        <f>(SUM(Модель!AC10))*D$6*D$7-(SUM(Модель!AC12))*D$6*D$8-(SUM(Модель!AC14))*D$9-(SUM(Модель!AC15))*D$9-(SUM(Модель!AC16))</f>
        <v>163190000</v>
      </c>
    </row>
    <row r="19" spans="1:6" ht="68.25" customHeight="1" x14ac:dyDescent="0.3">
      <c r="A19" s="25" t="s">
        <v>166</v>
      </c>
      <c r="B19" s="11"/>
      <c r="C19" s="11"/>
      <c r="D19" s="11"/>
      <c r="E19" s="11"/>
      <c r="F19" s="11"/>
    </row>
    <row r="20" spans="1:6" ht="14.25" customHeight="1" x14ac:dyDescent="0.3">
      <c r="A20" s="51" t="s">
        <v>167</v>
      </c>
      <c r="B20" s="40">
        <f>(B13+B14+B15+B16+B17)*(1-Допущения!C37)</f>
        <v>-59250057.142857231</v>
      </c>
      <c r="C20" s="52">
        <f>(C13+C14+C15+C16+C17)*(1-Допущения!C37)</f>
        <v>169417142.85714287</v>
      </c>
      <c r="D20" s="40">
        <f>(D13+D14+D15+D16+D17)*(1-Допущения!C37)</f>
        <v>417471542.85714287</v>
      </c>
    </row>
    <row r="21" spans="1:6" ht="15" customHeight="1" x14ac:dyDescent="0.3">
      <c r="A21" s="2" t="s">
        <v>168</v>
      </c>
      <c r="B21" s="40">
        <f>(B13+B14+B15+B16+B17)/5</f>
        <v>-14812514.285714308</v>
      </c>
      <c r="C21" s="40">
        <f>(C13+C14+C15+C16+C17)/5</f>
        <v>42354285.714285716</v>
      </c>
      <c r="D21" s="40">
        <f>(D13+D14+D15+D16+D17)/5</f>
        <v>104367885.7142857</v>
      </c>
    </row>
    <row r="23" spans="1:6" ht="39.75" customHeight="1" x14ac:dyDescent="0.3">
      <c r="A23" s="53" t="s">
        <v>169</v>
      </c>
      <c r="B23" s="53"/>
      <c r="C23" s="53"/>
      <c r="D23" s="53"/>
      <c r="E23" s="53"/>
      <c r="F23" s="53"/>
    </row>
  </sheetData>
  <mergeCells count="1"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showGridLines="0" zoomScaleNormal="100" workbookViewId="0">
      <selection activeCell="A36" sqref="A36"/>
    </sheetView>
  </sheetViews>
  <sheetFormatPr defaultColWidth="8.6640625" defaultRowHeight="14.4" x14ac:dyDescent="0.3"/>
  <cols>
    <col min="1" max="1" width="30" style="2" customWidth="1"/>
    <col min="2" max="8" width="14" style="2" customWidth="1"/>
    <col min="9" max="16384" width="8.6640625" style="2"/>
  </cols>
  <sheetData>
    <row r="1" spans="1:2" ht="17.25" customHeight="1" x14ac:dyDescent="0.35">
      <c r="A1" s="1" t="s">
        <v>170</v>
      </c>
    </row>
    <row r="2" spans="1:2" ht="36" customHeight="1" x14ac:dyDescent="0.3">
      <c r="A2" s="20" t="s">
        <v>171</v>
      </c>
    </row>
    <row r="5" spans="1:2" ht="15" hidden="1" customHeight="1" x14ac:dyDescent="0.3">
      <c r="A5" s="43" t="s">
        <v>172</v>
      </c>
    </row>
    <row r="6" spans="1:2" ht="15" hidden="1" customHeight="1" x14ac:dyDescent="0.3">
      <c r="A6" s="43" t="s">
        <v>173</v>
      </c>
      <c r="B6" s="46">
        <f>SUM(Модель!C17:N17)</f>
        <v>-14114285.714285716</v>
      </c>
    </row>
    <row r="7" spans="1:2" ht="15" hidden="1" customHeight="1" x14ac:dyDescent="0.3">
      <c r="A7" s="43" t="s">
        <v>174</v>
      </c>
      <c r="B7" s="46">
        <f>SUM(Модель!O17:Z17)</f>
        <v>25485714.28571428</v>
      </c>
    </row>
    <row r="8" spans="1:2" ht="15" hidden="1" customHeight="1" x14ac:dyDescent="0.3">
      <c r="A8" s="43" t="s">
        <v>175</v>
      </c>
      <c r="B8" s="46">
        <f>Модель!AA17</f>
        <v>60800000</v>
      </c>
    </row>
    <row r="9" spans="1:2" ht="15" hidden="1" customHeight="1" x14ac:dyDescent="0.3">
      <c r="A9" s="43" t="s">
        <v>176</v>
      </c>
      <c r="B9" s="46">
        <f>Модель!AB17</f>
        <v>60800000</v>
      </c>
    </row>
    <row r="10" spans="1:2" ht="15" hidden="1" customHeight="1" x14ac:dyDescent="0.3">
      <c r="A10" s="43" t="s">
        <v>177</v>
      </c>
      <c r="B10" s="46">
        <f>Модель!AC17</f>
        <v>78800000</v>
      </c>
    </row>
    <row r="11" spans="1:2" ht="15" hidden="1" customHeight="1" x14ac:dyDescent="0.3">
      <c r="A11" s="43" t="s">
        <v>178</v>
      </c>
      <c r="B11" s="46">
        <f>SUM(Модель!C10:N10)</f>
        <v>108000000</v>
      </c>
    </row>
    <row r="12" spans="1:2" ht="15" hidden="1" customHeight="1" x14ac:dyDescent="0.3">
      <c r="A12" s="43" t="s">
        <v>179</v>
      </c>
      <c r="B12" s="46">
        <f>SUM(Модель!O10:Z10)</f>
        <v>216000000</v>
      </c>
    </row>
    <row r="13" spans="1:2" ht="15" hidden="1" customHeight="1" x14ac:dyDescent="0.3">
      <c r="A13" s="43" t="s">
        <v>180</v>
      </c>
      <c r="B13" s="46">
        <f>Модель!AA10</f>
        <v>360000000</v>
      </c>
    </row>
    <row r="14" spans="1:2" ht="15" hidden="1" customHeight="1" x14ac:dyDescent="0.3">
      <c r="A14" s="43" t="s">
        <v>181</v>
      </c>
      <c r="B14" s="46">
        <f>Модель!AB10</f>
        <v>360000000</v>
      </c>
    </row>
    <row r="15" spans="1:2" ht="15" hidden="1" customHeight="1" x14ac:dyDescent="0.3">
      <c r="A15" s="43" t="s">
        <v>182</v>
      </c>
      <c r="B15" s="46">
        <f>Модель!AC10</f>
        <v>378000000</v>
      </c>
    </row>
    <row r="16" spans="1:2" ht="15" hidden="1" customHeight="1" x14ac:dyDescent="0.3"/>
    <row r="17" spans="1:7" ht="25.5" customHeight="1" x14ac:dyDescent="0.3">
      <c r="A17" s="25" t="s">
        <v>183</v>
      </c>
      <c r="B17" s="11"/>
      <c r="C17" s="11"/>
      <c r="D17" s="11"/>
      <c r="E17" s="11"/>
      <c r="F17" s="11"/>
      <c r="G17" s="11"/>
    </row>
    <row r="18" spans="1:7" ht="15" customHeight="1" x14ac:dyDescent="0.3">
      <c r="A18" s="13" t="s">
        <v>184</v>
      </c>
      <c r="B18" s="48">
        <v>0.15</v>
      </c>
      <c r="C18" s="48">
        <v>0.18</v>
      </c>
      <c r="D18" s="48">
        <v>0.2</v>
      </c>
      <c r="E18" s="48">
        <v>0.22</v>
      </c>
      <c r="F18" s="48">
        <v>0.25</v>
      </c>
    </row>
    <row r="19" spans="1:7" ht="15" customHeight="1" x14ac:dyDescent="0.3">
      <c r="A19" s="48">
        <v>0.8</v>
      </c>
      <c r="B19" s="40">
        <f>-Допущения!C16+(((($B$6+($A19-1)*$B$11))*(1-Допущения!C37)+SUM(Модель!C16:N16)-((($B$11*$A19))*Допущения!C33/360-(0)*Допущения!C33/360)))/(1+B$18)^1+(((($B$7+($A19-1)*$B$12))*(1-Допущения!C37)+SUM(Модель!O16:Z16)-((($B$12*$A19))*Допущения!C33/360-(($B$11*$A19))*Допущения!C33/360)))/(1+B$18)^2+(((($B$8+($A19-1)*$B$13))*(1-Допущения!C37)+Модель!AA16-((($B$13*$A19))*Допущения!C33/360-(($B$12*$A19))*Допущения!C33/360)))/(1+B$18)^3+(((($B$9+($A19-1)*$B$14))*(1-Допущения!C37)+Модель!AB16-((($B$14*$A19))*Допущения!C33/360-(($B$13*$A19))*Допущения!C33/360)))/(1+B$18)^4+(((($B$10+($A19-1)*$B$15))*(1-Допущения!C37)+Модель!AC16-((($B$15*$A19))*Допущения!C33/360-(($B$14*$A19))*Допущения!C33/360)))/(1+B$18)^5-(Допущения!C18)/(1+B$18)^3+((($B$10+($A19-1)*$B$15)*(1-Допущения!C37)+Модель!AC16)/(1+B$18)^6+(($B$10+($A19-1)*$B$15)*(1-Допущения!C37)+Модель!AC16)/(1+B$18)^7)</f>
        <v>-96242102.331941202</v>
      </c>
      <c r="C19" s="40">
        <f>-Допущения!C16+(((($B$6+($A19-1)*$B$11))*(1-Допущения!C37)+SUM(Модель!C16:N16)-((($B$11*$A19))*Допущения!C33/360-(0)*Допущения!C33/360)))/(1+C$18)^1+(((($B$7+($A19-1)*$B$12))*(1-Допущения!C37)+SUM(Модель!O16:Z16)-((($B$12*$A19))*Допущения!C33/360-(($B$11*$A19))*Допущения!C33/360)))/(1+C$18)^2+(((($B$8+($A19-1)*$B$13))*(1-Допущения!C37)+Модель!AA16-((($B$13*$A19))*Допущения!C33/360-(($B$12*$A19))*Допущения!C33/360)))/(1+C$18)^3+(((($B$9+($A19-1)*$B$14))*(1-Допущения!C37)+Модель!AB16-((($B$14*$A19))*Допущения!C33/360-(($B$13*$A19))*Допущения!C33/360)))/(1+C$18)^4+(((($B$10+($A19-1)*$B$15))*(1-Допущения!C37)+Модель!AC16-((($B$15*$A19))*Допущения!C33/360-(($B$14*$A19))*Допущения!C33/360)))/(1+C$18)^5-(Допущения!C18)/(1+C$18)^3+((($B$10+($A19-1)*$B$15)*(1-Допущения!C37)+Модель!AC16)/(1+C$18)^6+(($B$10+($A19-1)*$B$15)*(1-Допущения!C37)+Модель!AC16)/(1+C$18)^7)</f>
        <v>-94908183.076480672</v>
      </c>
      <c r="D19" s="40">
        <f>-Допущения!C16+(((($B$6+($A19-1)*$B$11))*(1-Допущения!C37)+SUM(Модель!C16:N16)-((($B$11*$A19))*Допущения!C33/360-(0)*Допущения!C33/360)))/(1+D$18)^1+(((($B$7+($A19-1)*$B$12))*(1-Допущения!C37)+SUM(Модель!O16:Z16)-((($B$12*$A19))*Допущения!C33/360-(($B$11*$A19))*Допущения!C33/360)))/(1+D$18)^2+(((($B$8+($A19-1)*$B$13))*(1-Допущения!C37)+Модель!AA16-((($B$13*$A19))*Допущения!C33/360-(($B$12*$A19))*Допущения!C33/360)))/(1+D$18)^3+(((($B$9+($A19-1)*$B$14))*(1-Допущения!C37)+Модель!AB16-((($B$14*$A19))*Допущения!C33/360-(($B$13*$A19))*Допущения!C33/360)))/(1+D$18)^4+(((($B$10+($A19-1)*$B$15))*(1-Допущения!C37)+Модель!AC16-((($B$15*$A19))*Допущения!C33/360-(($B$14*$A19))*Допущения!C33/360)))/(1+D$18)^5-(Допущения!C18)/(1+D$18)^3+((($B$10+($A19-1)*$B$15)*(1-Допущения!C37)+Модель!AC16)/(1+D$18)^6+(($B$10+($A19-1)*$B$15)*(1-Допущения!C37)+Модель!AC16)/(1+D$18)^7)</f>
        <v>-93975897.552093536</v>
      </c>
      <c r="E19" s="40">
        <f>-Допущения!C16+(((($B$6+($A19-1)*$B$11))*(1-Допущения!C37)+SUM(Модель!C16:N16)-((($B$11*$A19))*Допущения!C33/360-(0)*Допущения!C33/360)))/(1+E$18)^1+(((($B$7+($A19-1)*$B$12))*(1-Допущения!C37)+SUM(Модель!O16:Z16)-((($B$12*$A19))*Допущения!C33/360-(($B$11*$A19))*Допущения!C33/360)))/(1+E$18)^2+(((($B$8+($A19-1)*$B$13))*(1-Допущения!C37)+Модель!AA16-((($B$13*$A19))*Допущения!C33/360-(($B$12*$A19))*Допущения!C33/360)))/(1+E$18)^3+(((($B$9+($A19-1)*$B$14))*(1-Допущения!C37)+Модель!AB16-((($B$14*$A19))*Допущения!C33/360-(($B$13*$A19))*Допущения!C33/360)))/(1+E$18)^4+(((($B$10+($A19-1)*$B$15))*(1-Допущения!C37)+Модель!AC16-((($B$15*$A19))*Допущения!C33/360-(($B$14*$A19))*Допущения!C33/360)))/(1+E$18)^5-(Допущения!C18)/(1+E$18)^3+((($B$10+($A19-1)*$B$15)*(1-Допущения!C37)+Модель!AC16)/(1+E$18)^6+(($B$10+($A19-1)*$B$15)*(1-Допущения!C37)+Модель!AC16)/(1+E$18)^7)</f>
        <v>-93022530.627891913</v>
      </c>
      <c r="F19" s="40">
        <f>-Допущения!C16+(((($B$6+($A19-1)*$B$11))*(1-Допущения!C37)+SUM(Модель!C16:N16)-((($B$11*$A19))*Допущения!C33/360-(0)*Допущения!C33/360)))/(1+F$18)^1+(((($B$7+($A19-1)*$B$12))*(1-Допущения!C37)+SUM(Модель!O16:Z16)-((($B$12*$A19))*Допущения!C33/360-(($B$11*$A19))*Допущения!C33/360)))/(1+F$18)^2+(((($B$8+($A19-1)*$B$13))*(1-Допущения!C37)+Модель!AA16-((($B$13*$A19))*Допущения!C33/360-(($B$12*$A19))*Допущения!C33/360)))/(1+F$18)^3+(((($B$9+($A19-1)*$B$14))*(1-Допущения!C37)+Модель!AB16-((($B$14*$A19))*Допущения!C33/360-(($B$13*$A19))*Допущения!C33/360)))/(1+F$18)^4+(((($B$10+($A19-1)*$B$15))*(1-Допущения!C37)+Модель!AC16-((($B$15*$A19))*Допущения!C33/360-(($B$14*$A19))*Допущения!C33/360)))/(1+F$18)^5-(Допущения!C18)/(1+F$18)^3+((($B$10+($A19-1)*$B$15)*(1-Допущения!C37)+Модель!AC16)/(1+F$18)^6+(($B$10+($A19-1)*$B$15)*(1-Допущения!C37)+Модель!AC16)/(1+F$18)^7)</f>
        <v>-91572233.362285718</v>
      </c>
    </row>
    <row r="20" spans="1:7" ht="15" customHeight="1" x14ac:dyDescent="0.3">
      <c r="A20" s="48">
        <v>0.9</v>
      </c>
      <c r="B20" s="40">
        <f>-Допущения!C16+(((($B$6+($A20-1)*$B$11))*(1-Допущения!C37)+SUM(Модель!C16:N16)-((($B$11*$A20))*Допущения!C33/360-(0)*Допущения!C33/360)))/(1+B$18)^1+(((($B$7+($A20-1)*$B$12))*(1-Допущения!C37)+SUM(Модель!O16:Z16)-((($B$12*$A20))*Допущения!C33/360-(($B$11*$A20))*Допущения!C33/360)))/(1+B$18)^2+(((($B$8+($A20-1)*$B$13))*(1-Допущения!C37)+Модель!AA16-((($B$13*$A20))*Допущения!C33/360-(($B$12*$A20))*Допущения!C33/360)))/(1+B$18)^3+(((($B$9+($A20-1)*$B$14))*(1-Допущения!C37)+Модель!AB16-((($B$14*$A20))*Допущения!C33/360-(($B$13*$A20))*Допущения!C33/360)))/(1+B$18)^4+(((($B$10+($A20-1)*$B$15))*(1-Допущения!C37)+Модель!AC16-((($B$15*$A20))*Допущения!C33/360-(($B$14*$A20))*Допущения!C33/360)))/(1+B$18)^5-(Допущения!C18)/(1+B$18)^3+((($B$10+($A20-1)*$B$15)*(1-Допущения!C37)+Модель!AC16)/(1+B$18)^6+(($B$10+($A20-1)*$B$15)*(1-Допущения!C37)+Модель!AC16)/(1+B$18)^7)</f>
        <v>-4273489.2307597548</v>
      </c>
      <c r="C20" s="40">
        <f>-Допущения!C16+(((($B$6+($A20-1)*$B$11))*(1-Допущения!C37)+SUM(Модель!C16:N16)-((($B$11*$A20))*Допущения!C33/360-(0)*Допущения!C33/360)))/(1+C$18)^1+(((($B$7+($A20-1)*$B$12))*(1-Допущения!C37)+SUM(Модель!O16:Z16)-((($B$12*$A20))*Допущения!C33/360-(($B$11*$A20))*Допущения!C33/360)))/(1+C$18)^2+(((($B$8+($A20-1)*$B$13))*(1-Допущения!C37)+Модель!AA16-((($B$13*$A20))*Допущения!C33/360-(($B$12*$A20))*Допущения!C33/360)))/(1+C$18)^3+(((($B$9+($A20-1)*$B$14))*(1-Допущения!C37)+Модель!AB16-((($B$14*$A20))*Допущения!C33/360-(($B$13*$A20))*Допущения!C33/360)))/(1+C$18)^4+(((($B$10+($A20-1)*$B$15))*(1-Допущения!C37)+Модель!AC16-((($B$15*$A20))*Допущения!C33/360-(($B$14*$A20))*Допущения!C33/360)))/(1+C$18)^5-(Допущения!C18)/(1+C$18)^3+((($B$10+($A20-1)*$B$15)*(1-Допущения!C37)+Модель!AC16)/(1+C$18)^6+(($B$10+($A20-1)*$B$15)*(1-Допущения!C37)+Модель!AC16)/(1+C$18)^7)</f>
        <v>-12187009.968028292</v>
      </c>
      <c r="D20" s="40">
        <f>-Допущения!C16+(((($B$6+($A20-1)*$B$11))*(1-Допущения!C37)+SUM(Модель!C16:N16)-((($B$11*$A20))*Допущения!C33/360-(0)*Допущения!C33/360)))/(1+D$18)^1+(((($B$7+($A20-1)*$B$12))*(1-Допущения!C37)+SUM(Модель!O16:Z16)-((($B$12*$A20))*Допущения!C33/360-(($B$11*$A20))*Допущения!C33/360)))/(1+D$18)^2+(((($B$8+($A20-1)*$B$13))*(1-Допущения!C37)+Модель!AA16-((($B$13*$A20))*Допущения!C33/360-(($B$12*$A20))*Допущения!C33/360)))/(1+D$18)^3+(((($B$9+($A20-1)*$B$14))*(1-Допущения!C37)+Модель!AB16-((($B$14*$A20))*Допущения!C33/360-(($B$13*$A20))*Допущения!C33/360)))/(1+D$18)^4+(((($B$10+($A20-1)*$B$15))*(1-Допущения!C37)+Модель!AC16-((($B$15*$A20))*Допущения!C33/360-(($B$14*$A20))*Допущения!C33/360)))/(1+D$18)^5-(Допущения!C18)/(1+D$18)^3+((($B$10+($A20-1)*$B$15)*(1-Допущения!C37)+Модель!AC16)/(1+D$18)^6+(($B$10+($A20-1)*$B$15)*(1-Допущения!C37)+Модель!AC16)/(1+D$18)^7)</f>
        <v>-16695409.511970066</v>
      </c>
      <c r="E20" s="40">
        <f>-Допущения!C16+(((($B$6+($A20-1)*$B$11))*(1-Допущения!C37)+SUM(Модель!C16:N16)-((($B$11*$A20))*Допущения!C33/360-(0)*Допущения!C33/360)))/(1+E$18)^1+(((($B$7+($A20-1)*$B$12))*(1-Допущения!C37)+SUM(Модель!O16:Z16)-((($B$12*$A20))*Допущения!C33/360-(($B$11*$A20))*Допущения!C33/360)))/(1+E$18)^2+(((($B$8+($A20-1)*$B$13))*(1-Допущения!C37)+Модель!AA16-((($B$13*$A20))*Допущения!C33/360-(($B$12*$A20))*Допущения!C33/360)))/(1+E$18)^3+(((($B$9+($A20-1)*$B$14))*(1-Допущения!C37)+Модель!AB16-((($B$14*$A20))*Допущения!C33/360-(($B$13*$A20))*Допущения!C33/360)))/(1+E$18)^4+(((($B$10+($A20-1)*$B$15))*(1-Допущения!C37)+Модель!AC16-((($B$15*$A20))*Допущения!C33/360-(($B$14*$A20))*Допущения!C33/360)))/(1+E$18)^5-(Допущения!C18)/(1+E$18)^3+((($B$10+($A20-1)*$B$15)*(1-Допущения!C37)+Модель!AC16)/(1+E$18)^6+(($B$10+($A20-1)*$B$15)*(1-Допущения!C37)+Модель!AC16)/(1+E$18)^7)</f>
        <v>-20680997.589109629</v>
      </c>
      <c r="F20" s="40">
        <f>-Допущения!C16+(((($B$6+($A20-1)*$B$11))*(1-Допущения!C37)+SUM(Модель!C16:N16)-((($B$11*$A20))*Допущения!C33/360-(0)*Допущения!C33/360)))/(1+F$18)^1+(((($B$7+($A20-1)*$B$12))*(1-Допущения!C37)+SUM(Модель!O16:Z16)-((($B$12*$A20))*Допущения!C33/360-(($B$11*$A20))*Допущения!C33/360)))/(1+F$18)^2+(((($B$8+($A20-1)*$B$13))*(1-Допущения!C37)+Модель!AA16-((($B$13*$A20))*Допущения!C33/360-(($B$12*$A20))*Допущения!C33/360)))/(1+F$18)^3+(((($B$9+($A20-1)*$B$14))*(1-Допущения!C37)+Модель!AB16-((($B$14*$A20))*Допущения!C33/360-(($B$13*$A20))*Допущения!C33/360)))/(1+F$18)^4+(((($B$10+($A20-1)*$B$15))*(1-Допущения!C37)+Модель!AC16-((($B$15*$A20))*Допущения!C33/360-(($B$14*$A20))*Допущения!C33/360)))/(1+F$18)^5-(Допущения!C18)/(1+F$18)^3+((($B$10+($A20-1)*$B$15)*(1-Допущения!C37)+Модель!AC16)/(1+F$18)^6+(($B$10+($A20-1)*$B$15)*(1-Допущения!C37)+Модель!AC16)/(1+F$18)^7)</f>
        <v>-25820215.954285711</v>
      </c>
    </row>
    <row r="21" spans="1:7" ht="15" customHeight="1" x14ac:dyDescent="0.3">
      <c r="A21" s="48">
        <v>1</v>
      </c>
      <c r="B21" s="40">
        <f>-Допущения!C16+(((($B$6+($A21-1)*$B$11))*(1-Допущения!C37)+SUM(Модель!C16:N16)-((($B$11*$A21))*Допущения!C33/360-(0)*Допущения!C33/360)))/(1+B$18)^1+(((($B$7+($A21-1)*$B$12))*(1-Допущения!C37)+SUM(Модель!O16:Z16)-((($B$12*$A21))*Допущения!C33/360-(($B$11*$A21))*Допущения!C33/360)))/(1+B$18)^2+(((($B$8+($A21-1)*$B$13))*(1-Допущения!C37)+Модель!AA16-((($B$13*$A21))*Допущения!C33/360-(($B$12*$A21))*Допущения!C33/360)))/(1+B$18)^3+(((($B$9+($A21-1)*$B$14))*(1-Допущения!C37)+Модель!AB16-((($B$14*$A21))*Допущения!C33/360-(($B$13*$A21))*Допущения!C33/360)))/(1+B$18)^4+(((($B$10+($A21-1)*$B$15))*(1-Допущения!C37)+Модель!AC16-((($B$15*$A21))*Допущения!C33/360-(($B$14*$A21))*Допущения!C33/360)))/(1+B$18)^5-(Допущения!C18)/(1+B$18)^3+((($B$10+($A21-1)*$B$15)*(1-Допущения!C37)+Модель!AC16)/(1+B$18)^6+(($B$10+($A21-1)*$B$15)*(1-Допущения!C37)+Модель!AC16)/(1+B$18)^7)</f>
        <v>87695123.870421633</v>
      </c>
      <c r="C21" s="40">
        <f>-Допущения!C16+(((($B$6+($A21-1)*$B$11))*(1-Допущения!C37)+SUM(Модель!C16:N16)-((($B$11*$A21))*Допущения!C33/360-(0)*Допущения!C33/360)))/(1+C$18)^1+(((($B$7+($A21-1)*$B$12))*(1-Допущения!C37)+SUM(Модель!O16:Z16)-((($B$12*$A21))*Допущения!C33/360-(($B$11*$A21))*Допущения!C33/360)))/(1+C$18)^2+(((($B$8+($A21-1)*$B$13))*(1-Допущения!C37)+Модель!AA16-((($B$13*$A21))*Допущения!C33/360-(($B$12*$A21))*Допущения!C33/360)))/(1+C$18)^3+(((($B$9+($A21-1)*$B$14))*(1-Допущения!C37)+Модель!AB16-((($B$14*$A21))*Допущения!C33/360-(($B$13*$A21))*Допущения!C33/360)))/(1+C$18)^4+(((($B$10+($A21-1)*$B$15))*(1-Допущения!C37)+Модель!AC16-((($B$15*$A21))*Допущения!C33/360-(($B$14*$A21))*Допущения!C33/360)))/(1+C$18)^5-(Допущения!C18)/(1+C$18)^3+((($B$10+($A21-1)*$B$15)*(1-Допущения!C37)+Модель!AC16)/(1+C$18)^6+(($B$10+($A21-1)*$B$15)*(1-Допущения!C37)+Модель!AC16)/(1+C$18)^7)</f>
        <v>70534163.140424058</v>
      </c>
      <c r="D21" s="40">
        <f>-Допущения!C16+(((($B$6+($A21-1)*$B$11))*(1-Допущения!C37)+SUM(Модель!C16:N16)-((($B$11*$A21))*Допущения!C33/360-(0)*Допущения!C33/360)))/(1+D$18)^1+(((($B$7+($A21-1)*$B$12))*(1-Допущения!C37)+SUM(Модель!O16:Z16)-((($B$12*$A21))*Допущения!C33/360-(($B$11*$A21))*Допущения!C33/360)))/(1+D$18)^2+(((($B$8+($A21-1)*$B$13))*(1-Допущения!C37)+Модель!AA16-((($B$13*$A21))*Допущения!C33/360-(($B$12*$A21))*Допущения!C33/360)))/(1+D$18)^3+(((($B$9+($A21-1)*$B$14))*(1-Допущения!C37)+Модель!AB16-((($B$14*$A21))*Допущения!C33/360-(($B$13*$A21))*Допущения!C33/360)))/(1+D$18)^4+(((($B$10+($A21-1)*$B$15))*(1-Допущения!C37)+Модель!AC16-((($B$15*$A21))*Допущения!C33/360-(($B$14*$A21))*Допущения!C33/360)))/(1+D$18)^5-(Допущения!C18)/(1+D$18)^3+((($B$10+($A21-1)*$B$15)*(1-Допущения!C37)+Модель!AC16)/(1+D$18)^6+(($B$10+($A21-1)*$B$15)*(1-Допущения!C37)+Модель!AC16)/(1+D$18)^7)</f>
        <v>60585078.528153375</v>
      </c>
      <c r="E21" s="40">
        <f>-Допущения!C16+(((($B$6+($A21-1)*$B$11))*(1-Допущения!C37)+SUM(Модель!C16:N16)-((($B$11*$A21))*Допущения!C33/360-(0)*Допущения!C33/360)))/(1+E$18)^1+(((($B$7+($A21-1)*$B$12))*(1-Допущения!C37)+SUM(Модель!O16:Z16)-((($B$12*$A21))*Допущения!C33/360-(($B$11*$A21))*Допущения!C33/360)))/(1+E$18)^2+(((($B$8+($A21-1)*$B$13))*(1-Допущения!C37)+Модель!AA16-((($B$13*$A21))*Допущения!C33/360-(($B$12*$A21))*Допущения!C33/360)))/(1+E$18)^3+(((($B$9+($A21-1)*$B$14))*(1-Допущения!C37)+Модель!AB16-((($B$14*$A21))*Допущения!C33/360-(($B$13*$A21))*Допущения!C33/360)))/(1+E$18)^4+(((($B$10+($A21-1)*$B$15))*(1-Допущения!C37)+Модель!AC16-((($B$15*$A21))*Допущения!C33/360-(($B$14*$A21))*Допущения!C33/360)))/(1+E$18)^5-(Допущения!C18)/(1+E$18)^3+((($B$10+($A21-1)*$B$15)*(1-Допущения!C37)+Модель!AC16)/(1+E$18)^6+(($B$10+($A21-1)*$B$15)*(1-Допущения!C37)+Модель!AC16)/(1+E$18)^7)</f>
        <v>51660535.449672647</v>
      </c>
      <c r="F21" s="40">
        <f>-Допущения!C16+(((($B$6+($A21-1)*$B$11))*(1-Допущения!C37)+SUM(Модель!C16:N16)-((($B$11*$A21))*Допущения!C33/360-(0)*Допущения!C33/360)))/(1+F$18)^1+(((($B$7+($A21-1)*$B$12))*(1-Допущения!C37)+SUM(Модель!O16:Z16)-((($B$12*$A21))*Допущения!C33/360-(($B$11*$A21))*Допущения!C33/360)))/(1+F$18)^2+(((($B$8+($A21-1)*$B$13))*(1-Допущения!C37)+Модель!AA16-((($B$13*$A21))*Допущения!C33/360-(($B$12*$A21))*Допущения!C33/360)))/(1+F$18)^3+(((($B$9+($A21-1)*$B$14))*(1-Допущения!C37)+Модель!AB16-((($B$14*$A21))*Допущения!C33/360-(($B$13*$A21))*Допущения!C33/360)))/(1+F$18)^4+(((($B$10+($A21-1)*$B$15))*(1-Допущения!C37)+Модель!AC16-((($B$15*$A21))*Допущения!C33/360-(($B$14*$A21))*Допущения!C33/360)))/(1+F$18)^5-(Допущения!C18)/(1+F$18)^3+((($B$10+($A21-1)*$B$15)*(1-Допущения!C37)+Модель!AC16)/(1+F$18)^6+(($B$10+($A21-1)*$B$15)*(1-Допущения!C37)+Модель!AC16)/(1+F$18)^7)</f>
        <v>39931801.453714281</v>
      </c>
    </row>
    <row r="22" spans="1:7" ht="15" customHeight="1" x14ac:dyDescent="0.3">
      <c r="A22" s="48">
        <v>1.1000000000000001</v>
      </c>
      <c r="B22" s="40">
        <f>-Допущения!C16+(((($B$6+($A22-1)*$B$11))*(1-Допущения!C37)+SUM(Модель!C16:N16)-((($B$11*$A22))*Допущения!C33/360-(0)*Допущения!C33/360)))/(1+B$18)^1+(((($B$7+($A22-1)*$B$12))*(1-Допущения!C37)+SUM(Модель!O16:Z16)-((($B$12*$A22))*Допущения!C33/360-(($B$11*$A22))*Допущения!C33/360)))/(1+B$18)^2+(((($B$8+($A22-1)*$B$13))*(1-Допущения!C37)+Модель!AA16-((($B$13*$A22))*Допущения!C33/360-(($B$12*$A22))*Допущения!C33/360)))/(1+B$18)^3+(((($B$9+($A22-1)*$B$14))*(1-Допущения!C37)+Модель!AB16-((($B$14*$A22))*Допущения!C33/360-(($B$13*$A22))*Допущения!C33/360)))/(1+B$18)^4+(((($B$10+($A22-1)*$B$15))*(1-Допущения!C37)+Модель!AC16-((($B$15*$A22))*Допущения!C33/360-(($B$14*$A22))*Допущения!C33/360)))/(1+B$18)^5-(Допущения!C18)/(1+B$18)^3+((($B$10+($A22-1)*$B$15)*(1-Допущения!C37)+Модель!AC16)/(1+B$18)^6+(($B$10+($A22-1)*$B$15)*(1-Допущения!C37)+Модель!AC16)/(1+B$18)^7)</f>
        <v>179663736.97160316</v>
      </c>
      <c r="C22" s="40">
        <f>-Допущения!C16+(((($B$6+($A22-1)*$B$11))*(1-Допущения!C37)+SUM(Модель!C16:N16)-((($B$11*$A22))*Допущения!C33/360-(0)*Допущения!C33/360)))/(1+C$18)^1+(((($B$7+($A22-1)*$B$12))*(1-Допущения!C37)+SUM(Модель!O16:Z16)-((($B$12*$A22))*Допущения!C33/360-(($B$11*$A22))*Допущения!C33/360)))/(1+C$18)^2+(((($B$8+($A22-1)*$B$13))*(1-Допущения!C37)+Модель!AA16-((($B$13*$A22))*Допущения!C33/360-(($B$12*$A22))*Допущения!C33/360)))/(1+C$18)^3+(((($B$9+($A22-1)*$B$14))*(1-Допущения!C37)+Модель!AB16-((($B$14*$A22))*Допущения!C33/360-(($B$13*$A22))*Допущения!C33/360)))/(1+C$18)^4+(((($B$10+($A22-1)*$B$15))*(1-Допущения!C37)+Модель!AC16-((($B$15*$A22))*Допущения!C33/360-(($B$14*$A22))*Допущения!C33/360)))/(1+C$18)^5-(Допущения!C18)/(1+C$18)^3+((($B$10+($A22-1)*$B$15)*(1-Допущения!C37)+Модель!AC16)/(1+C$18)^6+(($B$10+($A22-1)*$B$15)*(1-Допущения!C37)+Модель!AC16)/(1+C$18)^7)</f>
        <v>153255336.24887651</v>
      </c>
      <c r="D22" s="40">
        <f>-Допущения!C16+(((($B$6+($A22-1)*$B$11))*(1-Допущения!C37)+SUM(Модель!C16:N16)-((($B$11*$A22))*Допущения!C33/360-(0)*Допущения!C33/360)))/(1+D$18)^1+(((($B$7+($A22-1)*$B$12))*(1-Допущения!C37)+SUM(Модель!O16:Z16)-((($B$12*$A22))*Допущения!C33/360-(($B$11*$A22))*Допущения!C33/360)))/(1+D$18)^2+(((($B$8+($A22-1)*$B$13))*(1-Допущения!C37)+Модель!AA16-((($B$13*$A22))*Допущения!C33/360-(($B$12*$A22))*Допущения!C33/360)))/(1+D$18)^3+(((($B$9+($A22-1)*$B$14))*(1-Допущения!C37)+Модель!AB16-((($B$14*$A22))*Допущения!C33/360-(($B$13*$A22))*Допущения!C33/360)))/(1+D$18)^4+(((($B$10+($A22-1)*$B$15))*(1-Допущения!C37)+Модель!AC16-((($B$15*$A22))*Допущения!C33/360-(($B$14*$A22))*Допущения!C33/360)))/(1+D$18)^5-(Допущения!C18)/(1+D$18)^3+((($B$10+($A22-1)*$B$15)*(1-Допущения!C37)+Модель!AC16)/(1+D$18)^6+(($B$10+($A22-1)*$B$15)*(1-Допущения!C37)+Модель!AC16)/(1+D$18)^7)</f>
        <v>137865566.56827691</v>
      </c>
      <c r="E22" s="40">
        <f>-Допущения!C16+(((($B$6+($A22-1)*$B$11))*(1-Допущения!C37)+SUM(Модель!C16:N16)-((($B$11*$A22))*Допущения!C33/360-(0)*Допущения!C33/360)))/(1+E$18)^1+(((($B$7+($A22-1)*$B$12))*(1-Допущения!C37)+SUM(Модель!O16:Z16)-((($B$12*$A22))*Допущения!C33/360-(($B$11*$A22))*Допущения!C33/360)))/(1+E$18)^2+(((($B$8+($A22-1)*$B$13))*(1-Допущения!C37)+Модель!AA16-((($B$13*$A22))*Допущения!C33/360-(($B$12*$A22))*Допущения!C33/360)))/(1+E$18)^3+(((($B$9+($A22-1)*$B$14))*(1-Допущения!C37)+Модель!AB16-((($B$14*$A22))*Допущения!C33/360-(($B$13*$A22))*Допущения!C33/360)))/(1+E$18)^4+(((($B$10+($A22-1)*$B$15))*(1-Допущения!C37)+Модель!AC16-((($B$15*$A22))*Допущения!C33/360-(($B$14*$A22))*Допущения!C33/360)))/(1+E$18)^5-(Допущения!C18)/(1+E$18)^3+((($B$10+($A22-1)*$B$15)*(1-Допущения!C37)+Модель!AC16)/(1+E$18)^6+(($B$10+($A22-1)*$B$15)*(1-Допущения!C37)+Модель!AC16)/(1+E$18)^7)</f>
        <v>124002068.488455</v>
      </c>
      <c r="F22" s="40">
        <f>-Допущения!C16+(((($B$6+($A22-1)*$B$11))*(1-Допущения!C37)+SUM(Модель!C16:N16)-((($B$11*$A22))*Допущения!C33/360-(0)*Допущения!C33/360)))/(1+F$18)^1+(((($B$7+($A22-1)*$B$12))*(1-Допущения!C37)+SUM(Модель!O16:Z16)-((($B$12*$A22))*Допущения!C33/360-(($B$11*$A22))*Допущения!C33/360)))/(1+F$18)^2+(((($B$8+($A22-1)*$B$13))*(1-Допущения!C37)+Модель!AA16-((($B$13*$A22))*Допущения!C33/360-(($B$12*$A22))*Допущения!C33/360)))/(1+F$18)^3+(((($B$9+($A22-1)*$B$14))*(1-Допущения!C37)+Модель!AB16-((($B$14*$A22))*Допущения!C33/360-(($B$13*$A22))*Допущения!C33/360)))/(1+F$18)^4+(((($B$10+($A22-1)*$B$15))*(1-Допущения!C37)+Модель!AC16-((($B$15*$A22))*Допущения!C33/360-(($B$14*$A22))*Допущения!C33/360)))/(1+F$18)^5-(Допущения!C18)/(1+F$18)^3+((($B$10+($A22-1)*$B$15)*(1-Допущения!C37)+Модель!AC16)/(1+F$18)^6+(($B$10+($A22-1)*$B$15)*(1-Допущения!C37)+Модель!AC16)/(1+F$18)^7)</f>
        <v>105683818.86171435</v>
      </c>
    </row>
    <row r="23" spans="1:7" ht="15" customHeight="1" x14ac:dyDescent="0.3">
      <c r="A23" s="48">
        <v>1.2</v>
      </c>
      <c r="B23" s="40">
        <f>-Допущения!C16+(((($B$6+($A23-1)*$B$11))*(1-Допущения!C37)+SUM(Модель!C16:N16)-((($B$11*$A23))*Допущения!C33/360-(0)*Допущения!C33/360)))/(1+B$18)^1+(((($B$7+($A23-1)*$B$12))*(1-Допущения!C37)+SUM(Модель!O16:Z16)-((($B$12*$A23))*Допущения!C33/360-(($B$11*$A23))*Допущения!C33/360)))/(1+B$18)^2+(((($B$8+($A23-1)*$B$13))*(1-Допущения!C37)+Модель!AA16-((($B$13*$A23))*Допущения!C33/360-(($B$12*$A23))*Допущения!C33/360)))/(1+B$18)^3+(((($B$9+($A23-1)*$B$14))*(1-Допущения!C37)+Модель!AB16-((($B$14*$A23))*Допущения!C33/360-(($B$13*$A23))*Допущения!C33/360)))/(1+B$18)^4+(((($B$10+($A23-1)*$B$15))*(1-Допущения!C37)+Модель!AC16-((($B$15*$A23))*Допущения!C33/360-(($B$14*$A23))*Допущения!C33/360)))/(1+B$18)^5-(Допущения!C18)/(1+B$18)^3+((($B$10+($A23-1)*$B$15)*(1-Допущения!C37)+Модель!AC16)/(1+B$18)^6+(($B$10+($A23-1)*$B$15)*(1-Допущения!C37)+Модель!AC16)/(1+B$18)^7)</f>
        <v>271632350.07278448</v>
      </c>
      <c r="C23" s="40">
        <f>-Допущения!C16+(((($B$6+($A23-1)*$B$11))*(1-Допущения!C37)+SUM(Модель!C16:N16)-((($B$11*$A23))*Допущения!C33/360-(0)*Допущения!C33/360)))/(1+C$18)^1+(((($B$7+($A23-1)*$B$12))*(1-Допущения!C37)+SUM(Модель!O16:Z16)-((($B$12*$A23))*Допущения!C33/360-(($B$11*$A23))*Допущения!C33/360)))/(1+C$18)^2+(((($B$8+($A23-1)*$B$13))*(1-Допущения!C37)+Модель!AA16-((($B$13*$A23))*Допущения!C33/360-(($B$12*$A23))*Допущения!C33/360)))/(1+C$18)^3+(((($B$9+($A23-1)*$B$14))*(1-Допущения!C37)+Модель!AB16-((($B$14*$A23))*Допущения!C33/360-(($B$13*$A23))*Допущения!C33/360)))/(1+C$18)^4+(((($B$10+($A23-1)*$B$15))*(1-Допущения!C37)+Модель!AC16-((($B$15*$A23))*Допущения!C33/360-(($B$14*$A23))*Допущения!C33/360)))/(1+C$18)^5-(Допущения!C18)/(1+C$18)^3+((($B$10+($A23-1)*$B$15)*(1-Допущения!C37)+Модель!AC16)/(1+C$18)^6+(($B$10+($A23-1)*$B$15)*(1-Допущения!C37)+Модель!AC16)/(1+C$18)^7)</f>
        <v>235976509.35732883</v>
      </c>
      <c r="D23" s="40">
        <f>-Допущения!C16+(((($B$6+($A23-1)*$B$11))*(1-Допущения!C37)+SUM(Модель!C16:N16)-((($B$11*$A23))*Допущения!C33/360-(0)*Допущения!C33/360)))/(1+D$18)^1+(((($B$7+($A23-1)*$B$12))*(1-Допущения!C37)+SUM(Модель!O16:Z16)-((($B$12*$A23))*Допущения!C33/360-(($B$11*$A23))*Допущения!C33/360)))/(1+D$18)^2+(((($B$8+($A23-1)*$B$13))*(1-Допущения!C37)+Модель!AA16-((($B$13*$A23))*Допущения!C33/360-(($B$12*$A23))*Допущения!C33/360)))/(1+D$18)^3+(((($B$9+($A23-1)*$B$14))*(1-Допущения!C37)+Модель!AB16-((($B$14*$A23))*Допущения!C33/360-(($B$13*$A23))*Допущения!C33/360)))/(1+D$18)^4+(((($B$10+($A23-1)*$B$15))*(1-Допущения!C37)+Модель!AC16-((($B$15*$A23))*Допущения!C33/360-(($B$14*$A23))*Допущения!C33/360)))/(1+D$18)^5-(Допущения!C18)/(1+D$18)^3+((($B$10+($A23-1)*$B$15)*(1-Допущения!C37)+Модель!AC16)/(1+D$18)^6+(($B$10+($A23-1)*$B$15)*(1-Допущения!C37)+Модель!AC16)/(1+D$18)^7)</f>
        <v>215146054.60840032</v>
      </c>
      <c r="E23" s="40">
        <f>-Допущения!C16+(((($B$6+($A23-1)*$B$11))*(1-Допущения!C37)+SUM(Модель!C16:N16)-((($B$11*$A23))*Допущения!C33/360-(0)*Допущения!C33/360)))/(1+E$18)^1+(((($B$7+($A23-1)*$B$12))*(1-Допущения!C37)+SUM(Модель!O16:Z16)-((($B$12*$A23))*Допущения!C33/360-(($B$11*$A23))*Допущения!C33/360)))/(1+E$18)^2+(((($B$8+($A23-1)*$B$13))*(1-Допущения!C37)+Модель!AA16-((($B$13*$A23))*Допущения!C33/360-(($B$12*$A23))*Допущения!C33/360)))/(1+E$18)^3+(((($B$9+($A23-1)*$B$14))*(1-Допущения!C37)+Модель!AB16-((($B$14*$A23))*Допущения!C33/360-(($B$13*$A23))*Допущения!C33/360)))/(1+E$18)^4+(((($B$10+($A23-1)*$B$15))*(1-Допущения!C37)+Модель!AC16-((($B$15*$A23))*Допущения!C33/360-(($B$14*$A23))*Допущения!C33/360)))/(1+E$18)^5-(Допущения!C18)/(1+E$18)^3+((($B$10+($A23-1)*$B$15)*(1-Допущения!C37)+Модель!AC16)/(1+E$18)^6+(($B$10+($A23-1)*$B$15)*(1-Допущения!C37)+Модель!AC16)/(1+E$18)^7)</f>
        <v>196343601.52723724</v>
      </c>
      <c r="F23" s="40">
        <f>-Допущения!C16+(((($B$6+($A23-1)*$B$11))*(1-Допущения!C37)+SUM(Модель!C16:N16)-((($B$11*$A23))*Допущения!C33/360-(0)*Допущения!C33/360)))/(1+F$18)^1+(((($B$7+($A23-1)*$B$12))*(1-Допущения!C37)+SUM(Модель!O16:Z16)-((($B$12*$A23))*Допущения!C33/360-(($B$11*$A23))*Допущения!C33/360)))/(1+F$18)^2+(((($B$8+($A23-1)*$B$13))*(1-Допущения!C37)+Модель!AA16-((($B$13*$A23))*Допущения!C33/360-(($B$12*$A23))*Допущения!C33/360)))/(1+F$18)^3+(((($B$9+($A23-1)*$B$14))*(1-Допущения!C37)+Модель!AB16-((($B$14*$A23))*Допущения!C33/360-(($B$13*$A23))*Допущения!C33/360)))/(1+F$18)^4+(((($B$10+($A23-1)*$B$15))*(1-Допущения!C37)+Модель!AC16-((($B$15*$A23))*Допущения!C33/360-(($B$14*$A23))*Допущения!C33/360)))/(1+F$18)^5-(Допущения!C18)/(1+F$18)^3+((($B$10+($A23-1)*$B$15)*(1-Допущения!C37)+Модель!AC16)/(1+F$18)^6+(($B$10+($A23-1)*$B$15)*(1-Допущения!C37)+Модель!AC16)/(1+F$18)^7)</f>
        <v>171435836.26971427</v>
      </c>
    </row>
  </sheetData>
  <conditionalFormatting sqref="B19:F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Обложка</vt:lpstr>
      <vt:lpstr>Итоги</vt:lpstr>
      <vt:lpstr>Допущения</vt:lpstr>
      <vt:lpstr>Модель</vt:lpstr>
      <vt:lpstr>Сценарии</vt:lpstr>
      <vt:lpstr>Чувствительность</vt:lpstr>
      <vt:lpstr>Допущения!Область_печати</vt:lpstr>
      <vt:lpstr>Итоги!Область_печати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Stoyaltseff</dc:creator>
  <dc:description/>
  <cp:lastModifiedBy>Владимир Стояльцев</cp:lastModifiedBy>
  <cp:revision>9</cp:revision>
  <cp:lastPrinted>2026-08-02T20:25:51Z</cp:lastPrinted>
  <dcterms:created xsi:type="dcterms:W3CDTF">2026-07-30T06:25:03Z</dcterms:created>
  <dcterms:modified xsi:type="dcterms:W3CDTF">2026-08-02T20:26:14Z</dcterms:modified>
  <dc:language>en-US</dc:language>
</cp:coreProperties>
</file>